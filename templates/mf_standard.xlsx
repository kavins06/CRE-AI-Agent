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Monthly" sheetId="2" state="visible" r:id="rId2"/>
    <sheet xmlns:r="http://schemas.openxmlformats.org/officeDocument/2006/relationships" name="Annual" sheetId="3" state="visible" r:id="rId3"/>
  </sheets>
  <definedNames>
    <definedName name="base_monthly_revenue">'Inputs'!$B$2</definedName>
    <definedName name="base_monthly_operating_expenses">'Inputs'!$B$3</definedName>
    <definedName name="annual_revenue_growth">'Inputs'!$B$4</definedName>
    <definedName name="annual_expense_growth">'Inputs'!$B$5</definedName>
    <definedName name="vacancy_rate">'Inputs'!$B$6</definedName>
    <definedName name="credit_loss_rate">'Inputs'!$B$7</definedName>
    <definedName name="monthly_reserves">'Inputs'!$B$8</definedName>
    <definedName name="month_1_gross_potential_revenue">'Monthly'!$B$2</definedName>
    <definedName name="month_1_vacancy_loss">'Monthly'!$C$2</definedName>
    <definedName name="month_1_credit_loss">'Monthly'!$D$2</definedName>
    <definedName name="month_1_effective_gross_income">'Monthly'!$E$2</definedName>
    <definedName name="month_1_operating_expenses">'Monthly'!$F$2</definedName>
    <definedName name="month_1_reserves">'Monthly'!$G$2</definedName>
    <definedName name="month_1_noi">'Monthly'!$H$2</definedName>
    <definedName name="month_1_cash_flow">'Monthly'!$I$2</definedName>
    <definedName name="month_2_gross_potential_revenue">'Monthly'!$B$3</definedName>
    <definedName name="month_2_vacancy_loss">'Monthly'!$C$3</definedName>
    <definedName name="month_2_credit_loss">'Monthly'!$D$3</definedName>
    <definedName name="month_2_effective_gross_income">'Monthly'!$E$3</definedName>
    <definedName name="month_2_operating_expenses">'Monthly'!$F$3</definedName>
    <definedName name="month_2_reserves">'Monthly'!$G$3</definedName>
    <definedName name="month_2_noi">'Monthly'!$H$3</definedName>
    <definedName name="month_2_cash_flow">'Monthly'!$I$3</definedName>
    <definedName name="month_3_gross_potential_revenue">'Monthly'!$B$4</definedName>
    <definedName name="month_3_vacancy_loss">'Monthly'!$C$4</definedName>
    <definedName name="month_3_credit_loss">'Monthly'!$D$4</definedName>
    <definedName name="month_3_effective_gross_income">'Monthly'!$E$4</definedName>
    <definedName name="month_3_operating_expenses">'Monthly'!$F$4</definedName>
    <definedName name="month_3_reserves">'Monthly'!$G$4</definedName>
    <definedName name="month_3_noi">'Monthly'!$H$4</definedName>
    <definedName name="month_3_cash_flow">'Monthly'!$I$4</definedName>
    <definedName name="month_4_gross_potential_revenue">'Monthly'!$B$5</definedName>
    <definedName name="month_4_vacancy_loss">'Monthly'!$C$5</definedName>
    <definedName name="month_4_credit_loss">'Monthly'!$D$5</definedName>
    <definedName name="month_4_effective_gross_income">'Monthly'!$E$5</definedName>
    <definedName name="month_4_operating_expenses">'Monthly'!$F$5</definedName>
    <definedName name="month_4_reserves">'Monthly'!$G$5</definedName>
    <definedName name="month_4_noi">'Monthly'!$H$5</definedName>
    <definedName name="month_4_cash_flow">'Monthly'!$I$5</definedName>
    <definedName name="month_5_gross_potential_revenue">'Monthly'!$B$6</definedName>
    <definedName name="month_5_vacancy_loss">'Monthly'!$C$6</definedName>
    <definedName name="month_5_credit_loss">'Monthly'!$D$6</definedName>
    <definedName name="month_5_effective_gross_income">'Monthly'!$E$6</definedName>
    <definedName name="month_5_operating_expenses">'Monthly'!$F$6</definedName>
    <definedName name="month_5_reserves">'Monthly'!$G$6</definedName>
    <definedName name="month_5_noi">'Monthly'!$H$6</definedName>
    <definedName name="month_5_cash_flow">'Monthly'!$I$6</definedName>
    <definedName name="month_6_gross_potential_revenue">'Monthly'!$B$7</definedName>
    <definedName name="month_6_vacancy_loss">'Monthly'!$C$7</definedName>
    <definedName name="month_6_credit_loss">'Monthly'!$D$7</definedName>
    <definedName name="month_6_effective_gross_income">'Monthly'!$E$7</definedName>
    <definedName name="month_6_operating_expenses">'Monthly'!$F$7</definedName>
    <definedName name="month_6_reserves">'Monthly'!$G$7</definedName>
    <definedName name="month_6_noi">'Monthly'!$H$7</definedName>
    <definedName name="month_6_cash_flow">'Monthly'!$I$7</definedName>
    <definedName name="month_7_gross_potential_revenue">'Monthly'!$B$8</definedName>
    <definedName name="month_7_vacancy_loss">'Monthly'!$C$8</definedName>
    <definedName name="month_7_credit_loss">'Monthly'!$D$8</definedName>
    <definedName name="month_7_effective_gross_income">'Monthly'!$E$8</definedName>
    <definedName name="month_7_operating_expenses">'Monthly'!$F$8</definedName>
    <definedName name="month_7_reserves">'Monthly'!$G$8</definedName>
    <definedName name="month_7_noi">'Monthly'!$H$8</definedName>
    <definedName name="month_7_cash_flow">'Monthly'!$I$8</definedName>
    <definedName name="month_8_gross_potential_revenue">'Monthly'!$B$9</definedName>
    <definedName name="month_8_vacancy_loss">'Monthly'!$C$9</definedName>
    <definedName name="month_8_credit_loss">'Monthly'!$D$9</definedName>
    <definedName name="month_8_effective_gross_income">'Monthly'!$E$9</definedName>
    <definedName name="month_8_operating_expenses">'Monthly'!$F$9</definedName>
    <definedName name="month_8_reserves">'Monthly'!$G$9</definedName>
    <definedName name="month_8_noi">'Monthly'!$H$9</definedName>
    <definedName name="month_8_cash_flow">'Monthly'!$I$9</definedName>
    <definedName name="month_9_gross_potential_revenue">'Monthly'!$B$10</definedName>
    <definedName name="month_9_vacancy_loss">'Monthly'!$C$10</definedName>
    <definedName name="month_9_credit_loss">'Monthly'!$D$10</definedName>
    <definedName name="month_9_effective_gross_income">'Monthly'!$E$10</definedName>
    <definedName name="month_9_operating_expenses">'Monthly'!$F$10</definedName>
    <definedName name="month_9_reserves">'Monthly'!$G$10</definedName>
    <definedName name="month_9_noi">'Monthly'!$H$10</definedName>
    <definedName name="month_9_cash_flow">'Monthly'!$I$10</definedName>
    <definedName name="month_10_gross_potential_revenue">'Monthly'!$B$11</definedName>
    <definedName name="month_10_vacancy_loss">'Monthly'!$C$11</definedName>
    <definedName name="month_10_credit_loss">'Monthly'!$D$11</definedName>
    <definedName name="month_10_effective_gross_income">'Monthly'!$E$11</definedName>
    <definedName name="month_10_operating_expenses">'Monthly'!$F$11</definedName>
    <definedName name="month_10_reserves">'Monthly'!$G$11</definedName>
    <definedName name="month_10_noi">'Monthly'!$H$11</definedName>
    <definedName name="month_10_cash_flow">'Monthly'!$I$11</definedName>
    <definedName name="month_11_gross_potential_revenue">'Monthly'!$B$12</definedName>
    <definedName name="month_11_vacancy_loss">'Monthly'!$C$12</definedName>
    <definedName name="month_11_credit_loss">'Monthly'!$D$12</definedName>
    <definedName name="month_11_effective_gross_income">'Monthly'!$E$12</definedName>
    <definedName name="month_11_operating_expenses">'Monthly'!$F$12</definedName>
    <definedName name="month_11_reserves">'Monthly'!$G$12</definedName>
    <definedName name="month_11_noi">'Monthly'!$H$12</definedName>
    <definedName name="month_11_cash_flow">'Monthly'!$I$12</definedName>
    <definedName name="month_12_gross_potential_revenue">'Monthly'!$B$13</definedName>
    <definedName name="month_12_vacancy_loss">'Monthly'!$C$13</definedName>
    <definedName name="month_12_credit_loss">'Monthly'!$D$13</definedName>
    <definedName name="month_12_effective_gross_income">'Monthly'!$E$13</definedName>
    <definedName name="month_12_operating_expenses">'Monthly'!$F$13</definedName>
    <definedName name="month_12_reserves">'Monthly'!$G$13</definedName>
    <definedName name="month_12_noi">'Monthly'!$H$13</definedName>
    <definedName name="month_12_cash_flow">'Monthly'!$I$13</definedName>
    <definedName name="month_13_gross_potential_revenue">'Monthly'!$B$14</definedName>
    <definedName name="month_13_vacancy_loss">'Monthly'!$C$14</definedName>
    <definedName name="month_13_credit_loss">'Monthly'!$D$14</definedName>
    <definedName name="month_13_effective_gross_income">'Monthly'!$E$14</definedName>
    <definedName name="month_13_operating_expenses">'Monthly'!$F$14</definedName>
    <definedName name="month_13_reserves">'Monthly'!$G$14</definedName>
    <definedName name="month_13_noi">'Monthly'!$H$14</definedName>
    <definedName name="month_13_cash_flow">'Monthly'!$I$14</definedName>
    <definedName name="month_14_gross_potential_revenue">'Monthly'!$B$15</definedName>
    <definedName name="month_14_vacancy_loss">'Monthly'!$C$15</definedName>
    <definedName name="month_14_credit_loss">'Monthly'!$D$15</definedName>
    <definedName name="month_14_effective_gross_income">'Monthly'!$E$15</definedName>
    <definedName name="month_14_operating_expenses">'Monthly'!$F$15</definedName>
    <definedName name="month_14_reserves">'Monthly'!$G$15</definedName>
    <definedName name="month_14_noi">'Monthly'!$H$15</definedName>
    <definedName name="month_14_cash_flow">'Monthly'!$I$15</definedName>
    <definedName name="month_15_gross_potential_revenue">'Monthly'!$B$16</definedName>
    <definedName name="month_15_vacancy_loss">'Monthly'!$C$16</definedName>
    <definedName name="month_15_credit_loss">'Monthly'!$D$16</definedName>
    <definedName name="month_15_effective_gross_income">'Monthly'!$E$16</definedName>
    <definedName name="month_15_operating_expenses">'Monthly'!$F$16</definedName>
    <definedName name="month_15_reserves">'Monthly'!$G$16</definedName>
    <definedName name="month_15_noi">'Monthly'!$H$16</definedName>
    <definedName name="month_15_cash_flow">'Monthly'!$I$16</definedName>
    <definedName name="month_16_gross_potential_revenue">'Monthly'!$B$17</definedName>
    <definedName name="month_16_vacancy_loss">'Monthly'!$C$17</definedName>
    <definedName name="month_16_credit_loss">'Monthly'!$D$17</definedName>
    <definedName name="month_16_effective_gross_income">'Monthly'!$E$17</definedName>
    <definedName name="month_16_operating_expenses">'Monthly'!$F$17</definedName>
    <definedName name="month_16_reserves">'Monthly'!$G$17</definedName>
    <definedName name="month_16_noi">'Monthly'!$H$17</definedName>
    <definedName name="month_16_cash_flow">'Monthly'!$I$17</definedName>
    <definedName name="month_17_gross_potential_revenue">'Monthly'!$B$18</definedName>
    <definedName name="month_17_vacancy_loss">'Monthly'!$C$18</definedName>
    <definedName name="month_17_credit_loss">'Monthly'!$D$18</definedName>
    <definedName name="month_17_effective_gross_income">'Monthly'!$E$18</definedName>
    <definedName name="month_17_operating_expenses">'Monthly'!$F$18</definedName>
    <definedName name="month_17_reserves">'Monthly'!$G$18</definedName>
    <definedName name="month_17_noi">'Monthly'!$H$18</definedName>
    <definedName name="month_17_cash_flow">'Monthly'!$I$18</definedName>
    <definedName name="month_18_gross_potential_revenue">'Monthly'!$B$19</definedName>
    <definedName name="month_18_vacancy_loss">'Monthly'!$C$19</definedName>
    <definedName name="month_18_credit_loss">'Monthly'!$D$19</definedName>
    <definedName name="month_18_effective_gross_income">'Monthly'!$E$19</definedName>
    <definedName name="month_18_operating_expenses">'Monthly'!$F$19</definedName>
    <definedName name="month_18_reserves">'Monthly'!$G$19</definedName>
    <definedName name="month_18_noi">'Monthly'!$H$19</definedName>
    <definedName name="month_18_cash_flow">'Monthly'!$I$19</definedName>
    <definedName name="month_19_gross_potential_revenue">'Monthly'!$B$20</definedName>
    <definedName name="month_19_vacancy_loss">'Monthly'!$C$20</definedName>
    <definedName name="month_19_credit_loss">'Monthly'!$D$20</definedName>
    <definedName name="month_19_effective_gross_income">'Monthly'!$E$20</definedName>
    <definedName name="month_19_operating_expenses">'Monthly'!$F$20</definedName>
    <definedName name="month_19_reserves">'Monthly'!$G$20</definedName>
    <definedName name="month_19_noi">'Monthly'!$H$20</definedName>
    <definedName name="month_19_cash_flow">'Monthly'!$I$20</definedName>
    <definedName name="month_20_gross_potential_revenue">'Monthly'!$B$21</definedName>
    <definedName name="month_20_vacancy_loss">'Monthly'!$C$21</definedName>
    <definedName name="month_20_credit_loss">'Monthly'!$D$21</definedName>
    <definedName name="month_20_effective_gross_income">'Monthly'!$E$21</definedName>
    <definedName name="month_20_operating_expenses">'Monthly'!$F$21</definedName>
    <definedName name="month_20_reserves">'Monthly'!$G$21</definedName>
    <definedName name="month_20_noi">'Monthly'!$H$21</definedName>
    <definedName name="month_20_cash_flow">'Monthly'!$I$21</definedName>
    <definedName name="month_21_gross_potential_revenue">'Monthly'!$B$22</definedName>
    <definedName name="month_21_vacancy_loss">'Monthly'!$C$22</definedName>
    <definedName name="month_21_credit_loss">'Monthly'!$D$22</definedName>
    <definedName name="month_21_effective_gross_income">'Monthly'!$E$22</definedName>
    <definedName name="month_21_operating_expenses">'Monthly'!$F$22</definedName>
    <definedName name="month_21_reserves">'Monthly'!$G$22</definedName>
    <definedName name="month_21_noi">'Monthly'!$H$22</definedName>
    <definedName name="month_21_cash_flow">'Monthly'!$I$22</definedName>
    <definedName name="month_22_gross_potential_revenue">'Monthly'!$B$23</definedName>
    <definedName name="month_22_vacancy_loss">'Monthly'!$C$23</definedName>
    <definedName name="month_22_credit_loss">'Monthly'!$D$23</definedName>
    <definedName name="month_22_effective_gross_income">'Monthly'!$E$23</definedName>
    <definedName name="month_22_operating_expenses">'Monthly'!$F$23</definedName>
    <definedName name="month_22_reserves">'Monthly'!$G$23</definedName>
    <definedName name="month_22_noi">'Monthly'!$H$23</definedName>
    <definedName name="month_22_cash_flow">'Monthly'!$I$23</definedName>
    <definedName name="month_23_gross_potential_revenue">'Monthly'!$B$24</definedName>
    <definedName name="month_23_vacancy_loss">'Monthly'!$C$24</definedName>
    <definedName name="month_23_credit_loss">'Monthly'!$D$24</definedName>
    <definedName name="month_23_effective_gross_income">'Monthly'!$E$24</definedName>
    <definedName name="month_23_operating_expenses">'Monthly'!$F$24</definedName>
    <definedName name="month_23_reserves">'Monthly'!$G$24</definedName>
    <definedName name="month_23_noi">'Monthly'!$H$24</definedName>
    <definedName name="month_23_cash_flow">'Monthly'!$I$24</definedName>
    <definedName name="month_24_gross_potential_revenue">'Monthly'!$B$25</definedName>
    <definedName name="month_24_vacancy_loss">'Monthly'!$C$25</definedName>
    <definedName name="month_24_credit_loss">'Monthly'!$D$25</definedName>
    <definedName name="month_24_effective_gross_income">'Monthly'!$E$25</definedName>
    <definedName name="month_24_operating_expenses">'Monthly'!$F$25</definedName>
    <definedName name="month_24_reserves">'Monthly'!$G$25</definedName>
    <definedName name="month_24_noi">'Monthly'!$H$25</definedName>
    <definedName name="month_24_cash_flow">'Monthly'!$I$25</definedName>
    <definedName name="month_25_gross_potential_revenue">'Monthly'!$B$26</definedName>
    <definedName name="month_25_vacancy_loss">'Monthly'!$C$26</definedName>
    <definedName name="month_25_credit_loss">'Monthly'!$D$26</definedName>
    <definedName name="month_25_effective_gross_income">'Monthly'!$E$26</definedName>
    <definedName name="month_25_operating_expenses">'Monthly'!$F$26</definedName>
    <definedName name="month_25_reserves">'Monthly'!$G$26</definedName>
    <definedName name="month_25_noi">'Monthly'!$H$26</definedName>
    <definedName name="month_25_cash_flow">'Monthly'!$I$26</definedName>
    <definedName name="month_26_gross_potential_revenue">'Monthly'!$B$27</definedName>
    <definedName name="month_26_vacancy_loss">'Monthly'!$C$27</definedName>
    <definedName name="month_26_credit_loss">'Monthly'!$D$27</definedName>
    <definedName name="month_26_effective_gross_income">'Monthly'!$E$27</definedName>
    <definedName name="month_26_operating_expenses">'Monthly'!$F$27</definedName>
    <definedName name="month_26_reserves">'Monthly'!$G$27</definedName>
    <definedName name="month_26_noi">'Monthly'!$H$27</definedName>
    <definedName name="month_26_cash_flow">'Monthly'!$I$27</definedName>
    <definedName name="month_27_gross_potential_revenue">'Monthly'!$B$28</definedName>
    <definedName name="month_27_vacancy_loss">'Monthly'!$C$28</definedName>
    <definedName name="month_27_credit_loss">'Monthly'!$D$28</definedName>
    <definedName name="month_27_effective_gross_income">'Monthly'!$E$28</definedName>
    <definedName name="month_27_operating_expenses">'Monthly'!$F$28</definedName>
    <definedName name="month_27_reserves">'Monthly'!$G$28</definedName>
    <definedName name="month_27_noi">'Monthly'!$H$28</definedName>
    <definedName name="month_27_cash_flow">'Monthly'!$I$28</definedName>
    <definedName name="month_28_gross_potential_revenue">'Monthly'!$B$29</definedName>
    <definedName name="month_28_vacancy_loss">'Monthly'!$C$29</definedName>
    <definedName name="month_28_credit_loss">'Monthly'!$D$29</definedName>
    <definedName name="month_28_effective_gross_income">'Monthly'!$E$29</definedName>
    <definedName name="month_28_operating_expenses">'Monthly'!$F$29</definedName>
    <definedName name="month_28_reserves">'Monthly'!$G$29</definedName>
    <definedName name="month_28_noi">'Monthly'!$H$29</definedName>
    <definedName name="month_28_cash_flow">'Monthly'!$I$29</definedName>
    <definedName name="month_29_gross_potential_revenue">'Monthly'!$B$30</definedName>
    <definedName name="month_29_vacancy_loss">'Monthly'!$C$30</definedName>
    <definedName name="month_29_credit_loss">'Monthly'!$D$30</definedName>
    <definedName name="month_29_effective_gross_income">'Monthly'!$E$30</definedName>
    <definedName name="month_29_operating_expenses">'Monthly'!$F$30</definedName>
    <definedName name="month_29_reserves">'Monthly'!$G$30</definedName>
    <definedName name="month_29_noi">'Monthly'!$H$30</definedName>
    <definedName name="month_29_cash_flow">'Monthly'!$I$30</definedName>
    <definedName name="month_30_gross_potential_revenue">'Monthly'!$B$31</definedName>
    <definedName name="month_30_vacancy_loss">'Monthly'!$C$31</definedName>
    <definedName name="month_30_credit_loss">'Monthly'!$D$31</definedName>
    <definedName name="month_30_effective_gross_income">'Monthly'!$E$31</definedName>
    <definedName name="month_30_operating_expenses">'Monthly'!$F$31</definedName>
    <definedName name="month_30_reserves">'Monthly'!$G$31</definedName>
    <definedName name="month_30_noi">'Monthly'!$H$31</definedName>
    <definedName name="month_30_cash_flow">'Monthly'!$I$31</definedName>
    <definedName name="month_31_gross_potential_revenue">'Monthly'!$B$32</definedName>
    <definedName name="month_31_vacancy_loss">'Monthly'!$C$32</definedName>
    <definedName name="month_31_credit_loss">'Monthly'!$D$32</definedName>
    <definedName name="month_31_effective_gross_income">'Monthly'!$E$32</definedName>
    <definedName name="month_31_operating_expenses">'Monthly'!$F$32</definedName>
    <definedName name="month_31_reserves">'Monthly'!$G$32</definedName>
    <definedName name="month_31_noi">'Monthly'!$H$32</definedName>
    <definedName name="month_31_cash_flow">'Monthly'!$I$32</definedName>
    <definedName name="month_32_gross_potential_revenue">'Monthly'!$B$33</definedName>
    <definedName name="month_32_vacancy_loss">'Monthly'!$C$33</definedName>
    <definedName name="month_32_credit_loss">'Monthly'!$D$33</definedName>
    <definedName name="month_32_effective_gross_income">'Monthly'!$E$33</definedName>
    <definedName name="month_32_operating_expenses">'Monthly'!$F$33</definedName>
    <definedName name="month_32_reserves">'Monthly'!$G$33</definedName>
    <definedName name="month_32_noi">'Monthly'!$H$33</definedName>
    <definedName name="month_32_cash_flow">'Monthly'!$I$33</definedName>
    <definedName name="month_33_gross_potential_revenue">'Monthly'!$B$34</definedName>
    <definedName name="month_33_vacancy_loss">'Monthly'!$C$34</definedName>
    <definedName name="month_33_credit_loss">'Monthly'!$D$34</definedName>
    <definedName name="month_33_effective_gross_income">'Monthly'!$E$34</definedName>
    <definedName name="month_33_operating_expenses">'Monthly'!$F$34</definedName>
    <definedName name="month_33_reserves">'Monthly'!$G$34</definedName>
    <definedName name="month_33_noi">'Monthly'!$H$34</definedName>
    <definedName name="month_33_cash_flow">'Monthly'!$I$34</definedName>
    <definedName name="month_34_gross_potential_revenue">'Monthly'!$B$35</definedName>
    <definedName name="month_34_vacancy_loss">'Monthly'!$C$35</definedName>
    <definedName name="month_34_credit_loss">'Monthly'!$D$35</definedName>
    <definedName name="month_34_effective_gross_income">'Monthly'!$E$35</definedName>
    <definedName name="month_34_operating_expenses">'Monthly'!$F$35</definedName>
    <definedName name="month_34_reserves">'Monthly'!$G$35</definedName>
    <definedName name="month_34_noi">'Monthly'!$H$35</definedName>
    <definedName name="month_34_cash_flow">'Monthly'!$I$35</definedName>
    <definedName name="month_35_gross_potential_revenue">'Monthly'!$B$36</definedName>
    <definedName name="month_35_vacancy_loss">'Monthly'!$C$36</definedName>
    <definedName name="month_35_credit_loss">'Monthly'!$D$36</definedName>
    <definedName name="month_35_effective_gross_income">'Monthly'!$E$36</definedName>
    <definedName name="month_35_operating_expenses">'Monthly'!$F$36</definedName>
    <definedName name="month_35_reserves">'Monthly'!$G$36</definedName>
    <definedName name="month_35_noi">'Monthly'!$H$36</definedName>
    <definedName name="month_35_cash_flow">'Monthly'!$I$36</definedName>
    <definedName name="month_36_gross_potential_revenue">'Monthly'!$B$37</definedName>
    <definedName name="month_36_vacancy_loss">'Monthly'!$C$37</definedName>
    <definedName name="month_36_credit_loss">'Monthly'!$D$37</definedName>
    <definedName name="month_36_effective_gross_income">'Monthly'!$E$37</definedName>
    <definedName name="month_36_operating_expenses">'Monthly'!$F$37</definedName>
    <definedName name="month_36_reserves">'Monthly'!$G$37</definedName>
    <definedName name="month_36_noi">'Monthly'!$H$37</definedName>
    <definedName name="month_36_cash_flow">'Monthly'!$I$37</definedName>
    <definedName name="month_37_gross_potential_revenue">'Monthly'!$B$38</definedName>
    <definedName name="month_37_vacancy_loss">'Monthly'!$C$38</definedName>
    <definedName name="month_37_credit_loss">'Monthly'!$D$38</definedName>
    <definedName name="month_37_effective_gross_income">'Monthly'!$E$38</definedName>
    <definedName name="month_37_operating_expenses">'Monthly'!$F$38</definedName>
    <definedName name="month_37_reserves">'Monthly'!$G$38</definedName>
    <definedName name="month_37_noi">'Monthly'!$H$38</definedName>
    <definedName name="month_37_cash_flow">'Monthly'!$I$38</definedName>
    <definedName name="month_38_gross_potential_revenue">'Monthly'!$B$39</definedName>
    <definedName name="month_38_vacancy_loss">'Monthly'!$C$39</definedName>
    <definedName name="month_38_credit_loss">'Monthly'!$D$39</definedName>
    <definedName name="month_38_effective_gross_income">'Monthly'!$E$39</definedName>
    <definedName name="month_38_operating_expenses">'Monthly'!$F$39</definedName>
    <definedName name="month_38_reserves">'Monthly'!$G$39</definedName>
    <definedName name="month_38_noi">'Monthly'!$H$39</definedName>
    <definedName name="month_38_cash_flow">'Monthly'!$I$39</definedName>
    <definedName name="month_39_gross_potential_revenue">'Monthly'!$B$40</definedName>
    <definedName name="month_39_vacancy_loss">'Monthly'!$C$40</definedName>
    <definedName name="month_39_credit_loss">'Monthly'!$D$40</definedName>
    <definedName name="month_39_effective_gross_income">'Monthly'!$E$40</definedName>
    <definedName name="month_39_operating_expenses">'Monthly'!$F$40</definedName>
    <definedName name="month_39_reserves">'Monthly'!$G$40</definedName>
    <definedName name="month_39_noi">'Monthly'!$H$40</definedName>
    <definedName name="month_39_cash_flow">'Monthly'!$I$40</definedName>
    <definedName name="month_40_gross_potential_revenue">'Monthly'!$B$41</definedName>
    <definedName name="month_40_vacancy_loss">'Monthly'!$C$41</definedName>
    <definedName name="month_40_credit_loss">'Monthly'!$D$41</definedName>
    <definedName name="month_40_effective_gross_income">'Monthly'!$E$41</definedName>
    <definedName name="month_40_operating_expenses">'Monthly'!$F$41</definedName>
    <definedName name="month_40_reserves">'Monthly'!$G$41</definedName>
    <definedName name="month_40_noi">'Monthly'!$H$41</definedName>
    <definedName name="month_40_cash_flow">'Monthly'!$I$41</definedName>
    <definedName name="month_41_gross_potential_revenue">'Monthly'!$B$42</definedName>
    <definedName name="month_41_vacancy_loss">'Monthly'!$C$42</definedName>
    <definedName name="month_41_credit_loss">'Monthly'!$D$42</definedName>
    <definedName name="month_41_effective_gross_income">'Monthly'!$E$42</definedName>
    <definedName name="month_41_operating_expenses">'Monthly'!$F$42</definedName>
    <definedName name="month_41_reserves">'Monthly'!$G$42</definedName>
    <definedName name="month_41_noi">'Monthly'!$H$42</definedName>
    <definedName name="month_41_cash_flow">'Monthly'!$I$42</definedName>
    <definedName name="month_42_gross_potential_revenue">'Monthly'!$B$43</definedName>
    <definedName name="month_42_vacancy_loss">'Monthly'!$C$43</definedName>
    <definedName name="month_42_credit_loss">'Monthly'!$D$43</definedName>
    <definedName name="month_42_effective_gross_income">'Monthly'!$E$43</definedName>
    <definedName name="month_42_operating_expenses">'Monthly'!$F$43</definedName>
    <definedName name="month_42_reserves">'Monthly'!$G$43</definedName>
    <definedName name="month_42_noi">'Monthly'!$H$43</definedName>
    <definedName name="month_42_cash_flow">'Monthly'!$I$43</definedName>
    <definedName name="month_43_gross_potential_revenue">'Monthly'!$B$44</definedName>
    <definedName name="month_43_vacancy_loss">'Monthly'!$C$44</definedName>
    <definedName name="month_43_credit_loss">'Monthly'!$D$44</definedName>
    <definedName name="month_43_effective_gross_income">'Monthly'!$E$44</definedName>
    <definedName name="month_43_operating_expenses">'Monthly'!$F$44</definedName>
    <definedName name="month_43_reserves">'Monthly'!$G$44</definedName>
    <definedName name="month_43_noi">'Monthly'!$H$44</definedName>
    <definedName name="month_43_cash_flow">'Monthly'!$I$44</definedName>
    <definedName name="month_44_gross_potential_revenue">'Monthly'!$B$45</definedName>
    <definedName name="month_44_vacancy_loss">'Monthly'!$C$45</definedName>
    <definedName name="month_44_credit_loss">'Monthly'!$D$45</definedName>
    <definedName name="month_44_effective_gross_income">'Monthly'!$E$45</definedName>
    <definedName name="month_44_operating_expenses">'Monthly'!$F$45</definedName>
    <definedName name="month_44_reserves">'Monthly'!$G$45</definedName>
    <definedName name="month_44_noi">'Monthly'!$H$45</definedName>
    <definedName name="month_44_cash_flow">'Monthly'!$I$45</definedName>
    <definedName name="month_45_gross_potential_revenue">'Monthly'!$B$46</definedName>
    <definedName name="month_45_vacancy_loss">'Monthly'!$C$46</definedName>
    <definedName name="month_45_credit_loss">'Monthly'!$D$46</definedName>
    <definedName name="month_45_effective_gross_income">'Monthly'!$E$46</definedName>
    <definedName name="month_45_operating_expenses">'Monthly'!$F$46</definedName>
    <definedName name="month_45_reserves">'Monthly'!$G$46</definedName>
    <definedName name="month_45_noi">'Monthly'!$H$46</definedName>
    <definedName name="month_45_cash_flow">'Monthly'!$I$46</definedName>
    <definedName name="month_46_gross_potential_revenue">'Monthly'!$B$47</definedName>
    <definedName name="month_46_vacancy_loss">'Monthly'!$C$47</definedName>
    <definedName name="month_46_credit_loss">'Monthly'!$D$47</definedName>
    <definedName name="month_46_effective_gross_income">'Monthly'!$E$47</definedName>
    <definedName name="month_46_operating_expenses">'Monthly'!$F$47</definedName>
    <definedName name="month_46_reserves">'Monthly'!$G$47</definedName>
    <definedName name="month_46_noi">'Monthly'!$H$47</definedName>
    <definedName name="month_46_cash_flow">'Monthly'!$I$47</definedName>
    <definedName name="month_47_gross_potential_revenue">'Monthly'!$B$48</definedName>
    <definedName name="month_47_vacancy_loss">'Monthly'!$C$48</definedName>
    <definedName name="month_47_credit_loss">'Monthly'!$D$48</definedName>
    <definedName name="month_47_effective_gross_income">'Monthly'!$E$48</definedName>
    <definedName name="month_47_operating_expenses">'Monthly'!$F$48</definedName>
    <definedName name="month_47_reserves">'Monthly'!$G$48</definedName>
    <definedName name="month_47_noi">'Monthly'!$H$48</definedName>
    <definedName name="month_47_cash_flow">'Monthly'!$I$48</definedName>
    <definedName name="month_48_gross_potential_revenue">'Monthly'!$B$49</definedName>
    <definedName name="month_48_vacancy_loss">'Monthly'!$C$49</definedName>
    <definedName name="month_48_credit_loss">'Monthly'!$D$49</definedName>
    <definedName name="month_48_effective_gross_income">'Monthly'!$E$49</definedName>
    <definedName name="month_48_operating_expenses">'Monthly'!$F$49</definedName>
    <definedName name="month_48_reserves">'Monthly'!$G$49</definedName>
    <definedName name="month_48_noi">'Monthly'!$H$49</definedName>
    <definedName name="month_48_cash_flow">'Monthly'!$I$49</definedName>
    <definedName name="month_49_gross_potential_revenue">'Monthly'!$B$50</definedName>
    <definedName name="month_49_vacancy_loss">'Monthly'!$C$50</definedName>
    <definedName name="month_49_credit_loss">'Monthly'!$D$50</definedName>
    <definedName name="month_49_effective_gross_income">'Monthly'!$E$50</definedName>
    <definedName name="month_49_operating_expenses">'Monthly'!$F$50</definedName>
    <definedName name="month_49_reserves">'Monthly'!$G$50</definedName>
    <definedName name="month_49_noi">'Monthly'!$H$50</definedName>
    <definedName name="month_49_cash_flow">'Monthly'!$I$50</definedName>
    <definedName name="month_50_gross_potential_revenue">'Monthly'!$B$51</definedName>
    <definedName name="month_50_vacancy_loss">'Monthly'!$C$51</definedName>
    <definedName name="month_50_credit_loss">'Monthly'!$D$51</definedName>
    <definedName name="month_50_effective_gross_income">'Monthly'!$E$51</definedName>
    <definedName name="month_50_operating_expenses">'Monthly'!$F$51</definedName>
    <definedName name="month_50_reserves">'Monthly'!$G$51</definedName>
    <definedName name="month_50_noi">'Monthly'!$H$51</definedName>
    <definedName name="month_50_cash_flow">'Monthly'!$I$51</definedName>
    <definedName name="month_51_gross_potential_revenue">'Monthly'!$B$52</definedName>
    <definedName name="month_51_vacancy_loss">'Monthly'!$C$52</definedName>
    <definedName name="month_51_credit_loss">'Monthly'!$D$52</definedName>
    <definedName name="month_51_effective_gross_income">'Monthly'!$E$52</definedName>
    <definedName name="month_51_operating_expenses">'Monthly'!$F$52</definedName>
    <definedName name="month_51_reserves">'Monthly'!$G$52</definedName>
    <definedName name="month_51_noi">'Monthly'!$H$52</definedName>
    <definedName name="month_51_cash_flow">'Monthly'!$I$52</definedName>
    <definedName name="month_52_gross_potential_revenue">'Monthly'!$B$53</definedName>
    <definedName name="month_52_vacancy_loss">'Monthly'!$C$53</definedName>
    <definedName name="month_52_credit_loss">'Monthly'!$D$53</definedName>
    <definedName name="month_52_effective_gross_income">'Monthly'!$E$53</definedName>
    <definedName name="month_52_operating_expenses">'Monthly'!$F$53</definedName>
    <definedName name="month_52_reserves">'Monthly'!$G$53</definedName>
    <definedName name="month_52_noi">'Monthly'!$H$53</definedName>
    <definedName name="month_52_cash_flow">'Monthly'!$I$53</definedName>
    <definedName name="month_53_gross_potential_revenue">'Monthly'!$B$54</definedName>
    <definedName name="month_53_vacancy_loss">'Monthly'!$C$54</definedName>
    <definedName name="month_53_credit_loss">'Monthly'!$D$54</definedName>
    <definedName name="month_53_effective_gross_income">'Monthly'!$E$54</definedName>
    <definedName name="month_53_operating_expenses">'Monthly'!$F$54</definedName>
    <definedName name="month_53_reserves">'Monthly'!$G$54</definedName>
    <definedName name="month_53_noi">'Monthly'!$H$54</definedName>
    <definedName name="month_53_cash_flow">'Monthly'!$I$54</definedName>
    <definedName name="month_54_gross_potential_revenue">'Monthly'!$B$55</definedName>
    <definedName name="month_54_vacancy_loss">'Monthly'!$C$55</definedName>
    <definedName name="month_54_credit_loss">'Monthly'!$D$55</definedName>
    <definedName name="month_54_effective_gross_income">'Monthly'!$E$55</definedName>
    <definedName name="month_54_operating_expenses">'Monthly'!$F$55</definedName>
    <definedName name="month_54_reserves">'Monthly'!$G$55</definedName>
    <definedName name="month_54_noi">'Monthly'!$H$55</definedName>
    <definedName name="month_54_cash_flow">'Monthly'!$I$55</definedName>
    <definedName name="month_55_gross_potential_revenue">'Monthly'!$B$56</definedName>
    <definedName name="month_55_vacancy_loss">'Monthly'!$C$56</definedName>
    <definedName name="month_55_credit_loss">'Monthly'!$D$56</definedName>
    <definedName name="month_55_effective_gross_income">'Monthly'!$E$56</definedName>
    <definedName name="month_55_operating_expenses">'Monthly'!$F$56</definedName>
    <definedName name="month_55_reserves">'Monthly'!$G$56</definedName>
    <definedName name="month_55_noi">'Monthly'!$H$56</definedName>
    <definedName name="month_55_cash_flow">'Monthly'!$I$56</definedName>
    <definedName name="month_56_gross_potential_revenue">'Monthly'!$B$57</definedName>
    <definedName name="month_56_vacancy_loss">'Monthly'!$C$57</definedName>
    <definedName name="month_56_credit_loss">'Monthly'!$D$57</definedName>
    <definedName name="month_56_effective_gross_income">'Monthly'!$E$57</definedName>
    <definedName name="month_56_operating_expenses">'Monthly'!$F$57</definedName>
    <definedName name="month_56_reserves">'Monthly'!$G$57</definedName>
    <definedName name="month_56_noi">'Monthly'!$H$57</definedName>
    <definedName name="month_56_cash_flow">'Monthly'!$I$57</definedName>
    <definedName name="month_57_gross_potential_revenue">'Monthly'!$B$58</definedName>
    <definedName name="month_57_vacancy_loss">'Monthly'!$C$58</definedName>
    <definedName name="month_57_credit_loss">'Monthly'!$D$58</definedName>
    <definedName name="month_57_effective_gross_income">'Monthly'!$E$58</definedName>
    <definedName name="month_57_operating_expenses">'Monthly'!$F$58</definedName>
    <definedName name="month_57_reserves">'Monthly'!$G$58</definedName>
    <definedName name="month_57_noi">'Monthly'!$H$58</definedName>
    <definedName name="month_57_cash_flow">'Monthly'!$I$58</definedName>
    <definedName name="month_58_gross_potential_revenue">'Monthly'!$B$59</definedName>
    <definedName name="month_58_vacancy_loss">'Monthly'!$C$59</definedName>
    <definedName name="month_58_credit_loss">'Monthly'!$D$59</definedName>
    <definedName name="month_58_effective_gross_income">'Monthly'!$E$59</definedName>
    <definedName name="month_58_operating_expenses">'Monthly'!$F$59</definedName>
    <definedName name="month_58_reserves">'Monthly'!$G$59</definedName>
    <definedName name="month_58_noi">'Monthly'!$H$59</definedName>
    <definedName name="month_58_cash_flow">'Monthly'!$I$59</definedName>
    <definedName name="month_59_gross_potential_revenue">'Monthly'!$B$60</definedName>
    <definedName name="month_59_vacancy_loss">'Monthly'!$C$60</definedName>
    <definedName name="month_59_credit_loss">'Monthly'!$D$60</definedName>
    <definedName name="month_59_effective_gross_income">'Monthly'!$E$60</definedName>
    <definedName name="month_59_operating_expenses">'Monthly'!$F$60</definedName>
    <definedName name="month_59_reserves">'Monthly'!$G$60</definedName>
    <definedName name="month_59_noi">'Monthly'!$H$60</definedName>
    <definedName name="month_59_cash_flow">'Monthly'!$I$60</definedName>
    <definedName name="month_60_gross_potential_revenue">'Monthly'!$B$61</definedName>
    <definedName name="month_60_vacancy_loss">'Monthly'!$C$61</definedName>
    <definedName name="month_60_credit_loss">'Monthly'!$D$61</definedName>
    <definedName name="month_60_effective_gross_income">'Monthly'!$E$61</definedName>
    <definedName name="month_60_operating_expenses">'Monthly'!$F$61</definedName>
    <definedName name="month_60_reserves">'Monthly'!$G$61</definedName>
    <definedName name="month_60_noi">'Monthly'!$H$61</definedName>
    <definedName name="month_60_cash_flow">'Monthly'!$I$61</definedName>
    <definedName name="year_1_gross_potential_revenue">'Annual'!$C$2</definedName>
    <definedName name="year_2_gross_potential_revenue">'Annual'!$D$2</definedName>
    <definedName name="year_3_gross_potential_revenue">'Annual'!$E$2</definedName>
    <definedName name="year_4_gross_potential_revenue">'Annual'!$F$2</definedName>
    <definedName name="year_5_gross_potential_revenue">'Annual'!$G$2</definedName>
    <definedName name="year_1_effective_gross_income">'Annual'!$C$3</definedName>
    <definedName name="year_2_effective_gross_income">'Annual'!$D$3</definedName>
    <definedName name="year_3_effective_gross_income">'Annual'!$E$3</definedName>
    <definedName name="year_4_effective_gross_income">'Annual'!$F$3</definedName>
    <definedName name="year_5_effective_gross_income">'Annual'!$G$3</definedName>
    <definedName name="year_1_operating_expenses">'Annual'!$C$4</definedName>
    <definedName name="year_2_operating_expenses">'Annual'!$D$4</definedName>
    <definedName name="year_3_operating_expenses">'Annual'!$E$4</definedName>
    <definedName name="year_4_operating_expenses">'Annual'!$F$4</definedName>
    <definedName name="year_5_operating_expenses">'Annual'!$G$4</definedName>
    <definedName name="year_1_reserves">'Annual'!$C$5</definedName>
    <definedName name="year_2_reserves">'Annual'!$D$5</definedName>
    <definedName name="year_3_reserves">'Annual'!$E$5</definedName>
    <definedName name="year_4_reserves">'Annual'!$F$5</definedName>
    <definedName name="year_5_reserves">'Annual'!$G$5</definedName>
    <definedName name="year_1_noi">'Annual'!$C$6</definedName>
    <definedName name="year_2_noi">'Annual'!$D$6</definedName>
    <definedName name="year_3_noi">'Annual'!$E$6</definedName>
    <definedName name="year_4_noi">'Annual'!$F$6</definedName>
    <definedName name="year_5_noi">'Annual'!$G$6</definedName>
    <definedName name="year_1_cash_flow">'Annual'!$C$7</definedName>
    <definedName name="year_2_cash_flow">'Annual'!$D$7</definedName>
    <definedName name="year_3_cash_flow">'Annual'!$E$7</definedName>
    <definedName name="year_4_cash_flow">'Annual'!$F$7</definedName>
    <definedName name="year_5_cash_flow">'Annual'!$G$7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</cols>
  <sheetData>
    <row r="1">
      <c r="A1" t="inlineStr">
        <is>
          <t>Stored fact key</t>
        </is>
      </c>
      <c r="B1" t="inlineStr">
        <is>
          <t>Value</t>
        </is>
      </c>
      <c r="C1" t="inlineStr">
        <is>
          <t>Unit</t>
        </is>
      </c>
    </row>
    <row r="2">
      <c r="A2" t="inlineStr">
        <is>
          <t>base_monthly_revenue</t>
        </is>
      </c>
      <c r="B2" s="1" t="n"/>
      <c r="C2" t="inlineStr">
        <is>
          <t>USD/month</t>
        </is>
      </c>
    </row>
    <row r="3">
      <c r="A3" t="inlineStr">
        <is>
          <t>base_monthly_operating_expenses</t>
        </is>
      </c>
      <c r="B3" s="1" t="n"/>
      <c r="C3" t="inlineStr">
        <is>
          <t>USD/month</t>
        </is>
      </c>
    </row>
    <row r="4">
      <c r="A4" t="inlineStr">
        <is>
          <t>annual_revenue_growth</t>
        </is>
      </c>
      <c r="B4" s="1" t="n"/>
      <c r="C4" t="inlineStr">
        <is>
          <t>ratio</t>
        </is>
      </c>
    </row>
    <row r="5">
      <c r="A5" t="inlineStr">
        <is>
          <t>annual_expense_growth</t>
        </is>
      </c>
      <c r="B5" s="1" t="n"/>
      <c r="C5" t="inlineStr">
        <is>
          <t>ratio</t>
        </is>
      </c>
    </row>
    <row r="6">
      <c r="A6" t="inlineStr">
        <is>
          <t>vacancy_rate</t>
        </is>
      </c>
      <c r="B6" s="1" t="n"/>
      <c r="C6" t="inlineStr">
        <is>
          <t>ratio</t>
        </is>
      </c>
    </row>
    <row r="7">
      <c r="A7" t="inlineStr">
        <is>
          <t>credit_loss_rate</t>
        </is>
      </c>
      <c r="B7" s="1" t="n"/>
      <c r="C7" t="inlineStr">
        <is>
          <t>ratio</t>
        </is>
      </c>
    </row>
    <row r="8">
      <c r="A8" t="inlineStr">
        <is>
          <t>monthly_reserves</t>
        </is>
      </c>
      <c r="B8" s="1" t="n"/>
      <c r="C8" t="inlineStr">
        <is>
          <t>USD/month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</cols>
  <sheetData>
    <row r="1">
      <c r="A1" t="inlineStr">
        <is>
          <t>Period</t>
        </is>
      </c>
      <c r="B1" t="inlineStr">
        <is>
          <t>gross_potential_revenue</t>
        </is>
      </c>
      <c r="C1" t="inlineStr">
        <is>
          <t>vacancy_loss</t>
        </is>
      </c>
      <c r="D1" t="inlineStr">
        <is>
          <t>credit_loss</t>
        </is>
      </c>
      <c r="E1" t="inlineStr">
        <is>
          <t>effective_gross_income</t>
        </is>
      </c>
      <c r="F1" t="inlineStr">
        <is>
          <t>operating_expenses</t>
        </is>
      </c>
      <c r="G1" t="inlineStr">
        <is>
          <t>reserves</t>
        </is>
      </c>
      <c r="H1" t="inlineStr">
        <is>
          <t>noi</t>
        </is>
      </c>
      <c r="I1" t="inlineStr">
        <is>
          <t>cash_flow</t>
        </is>
      </c>
    </row>
    <row r="2">
      <c r="A2" t="inlineStr">
        <is>
          <t>Month 1</t>
        </is>
      </c>
      <c r="B2" s="1">
        <f>base_monthly_revenue*(1+annual_revenue_growth)^0</f>
        <v/>
      </c>
      <c r="C2" s="1">
        <f>B2*vacancy_rate</f>
        <v/>
      </c>
      <c r="D2" s="1">
        <f>(B2-C2)*credit_loss_rate</f>
        <v/>
      </c>
      <c r="E2" s="1">
        <f>B2-C2-D2</f>
        <v/>
      </c>
      <c r="F2" s="1">
        <f>base_monthly_operating_expenses*(1+annual_expense_growth)^0</f>
        <v/>
      </c>
      <c r="G2" s="1">
        <f>monthly_reserves</f>
        <v/>
      </c>
      <c r="H2" s="1">
        <f>E2-F2</f>
        <v/>
      </c>
      <c r="I2" s="1">
        <f>H2-G2</f>
        <v/>
      </c>
    </row>
    <row r="3">
      <c r="A3" t="inlineStr">
        <is>
          <t>Month 2</t>
        </is>
      </c>
      <c r="B3" s="1">
        <f>base_monthly_revenue*(1+annual_revenue_growth)^0</f>
        <v/>
      </c>
      <c r="C3" s="1">
        <f>B3*vacancy_rate</f>
        <v/>
      </c>
      <c r="D3" s="1">
        <f>(B3-C3)*credit_loss_rate</f>
        <v/>
      </c>
      <c r="E3" s="1">
        <f>B3-C3-D3</f>
        <v/>
      </c>
      <c r="F3" s="1">
        <f>base_monthly_operating_expenses*(1+annual_expense_growth)^0</f>
        <v/>
      </c>
      <c r="G3" s="1">
        <f>monthly_reserves</f>
        <v/>
      </c>
      <c r="H3" s="1">
        <f>E3-F3</f>
        <v/>
      </c>
      <c r="I3" s="1">
        <f>H3-G3</f>
        <v/>
      </c>
    </row>
    <row r="4">
      <c r="A4" t="inlineStr">
        <is>
          <t>Month 3</t>
        </is>
      </c>
      <c r="B4" s="1">
        <f>base_monthly_revenue*(1+annual_revenue_growth)^0</f>
        <v/>
      </c>
      <c r="C4" s="1">
        <f>B4*vacancy_rate</f>
        <v/>
      </c>
      <c r="D4" s="1">
        <f>(B4-C4)*credit_loss_rate</f>
        <v/>
      </c>
      <c r="E4" s="1">
        <f>B4-C4-D4</f>
        <v/>
      </c>
      <c r="F4" s="1">
        <f>base_monthly_operating_expenses*(1+annual_expense_growth)^0</f>
        <v/>
      </c>
      <c r="G4" s="1">
        <f>monthly_reserves</f>
        <v/>
      </c>
      <c r="H4" s="1">
        <f>E4-F4</f>
        <v/>
      </c>
      <c r="I4" s="1">
        <f>H4-G4</f>
        <v/>
      </c>
    </row>
    <row r="5">
      <c r="A5" t="inlineStr">
        <is>
          <t>Month 4</t>
        </is>
      </c>
      <c r="B5" s="1">
        <f>base_monthly_revenue*(1+annual_revenue_growth)^0</f>
        <v/>
      </c>
      <c r="C5" s="1">
        <f>B5*vacancy_rate</f>
        <v/>
      </c>
      <c r="D5" s="1">
        <f>(B5-C5)*credit_loss_rate</f>
        <v/>
      </c>
      <c r="E5" s="1">
        <f>B5-C5-D5</f>
        <v/>
      </c>
      <c r="F5" s="1">
        <f>base_monthly_operating_expenses*(1+annual_expense_growth)^0</f>
        <v/>
      </c>
      <c r="G5" s="1">
        <f>monthly_reserves</f>
        <v/>
      </c>
      <c r="H5" s="1">
        <f>E5-F5</f>
        <v/>
      </c>
      <c r="I5" s="1">
        <f>H5-G5</f>
        <v/>
      </c>
    </row>
    <row r="6">
      <c r="A6" t="inlineStr">
        <is>
          <t>Month 5</t>
        </is>
      </c>
      <c r="B6" s="1">
        <f>base_monthly_revenue*(1+annual_revenue_growth)^0</f>
        <v/>
      </c>
      <c r="C6" s="1">
        <f>B6*vacancy_rate</f>
        <v/>
      </c>
      <c r="D6" s="1">
        <f>(B6-C6)*credit_loss_rate</f>
        <v/>
      </c>
      <c r="E6" s="1">
        <f>B6-C6-D6</f>
        <v/>
      </c>
      <c r="F6" s="1">
        <f>base_monthly_operating_expenses*(1+annual_expense_growth)^0</f>
        <v/>
      </c>
      <c r="G6" s="1">
        <f>monthly_reserves</f>
        <v/>
      </c>
      <c r="H6" s="1">
        <f>E6-F6</f>
        <v/>
      </c>
      <c r="I6" s="1">
        <f>H6-G6</f>
        <v/>
      </c>
    </row>
    <row r="7">
      <c r="A7" t="inlineStr">
        <is>
          <t>Month 6</t>
        </is>
      </c>
      <c r="B7" s="1">
        <f>base_monthly_revenue*(1+annual_revenue_growth)^0</f>
        <v/>
      </c>
      <c r="C7" s="1">
        <f>B7*vacancy_rate</f>
        <v/>
      </c>
      <c r="D7" s="1">
        <f>(B7-C7)*credit_loss_rate</f>
        <v/>
      </c>
      <c r="E7" s="1">
        <f>B7-C7-D7</f>
        <v/>
      </c>
      <c r="F7" s="1">
        <f>base_monthly_operating_expenses*(1+annual_expense_growth)^0</f>
        <v/>
      </c>
      <c r="G7" s="1">
        <f>monthly_reserves</f>
        <v/>
      </c>
      <c r="H7" s="1">
        <f>E7-F7</f>
        <v/>
      </c>
      <c r="I7" s="1">
        <f>H7-G7</f>
        <v/>
      </c>
    </row>
    <row r="8">
      <c r="A8" t="inlineStr">
        <is>
          <t>Month 7</t>
        </is>
      </c>
      <c r="B8" s="1">
        <f>base_monthly_revenue*(1+annual_revenue_growth)^0</f>
        <v/>
      </c>
      <c r="C8" s="1">
        <f>B8*vacancy_rate</f>
        <v/>
      </c>
      <c r="D8" s="1">
        <f>(B8-C8)*credit_loss_rate</f>
        <v/>
      </c>
      <c r="E8" s="1">
        <f>B8-C8-D8</f>
        <v/>
      </c>
      <c r="F8" s="1">
        <f>base_monthly_operating_expenses*(1+annual_expense_growth)^0</f>
        <v/>
      </c>
      <c r="G8" s="1">
        <f>monthly_reserves</f>
        <v/>
      </c>
      <c r="H8" s="1">
        <f>E8-F8</f>
        <v/>
      </c>
      <c r="I8" s="1">
        <f>H8-G8</f>
        <v/>
      </c>
    </row>
    <row r="9">
      <c r="A9" t="inlineStr">
        <is>
          <t>Month 8</t>
        </is>
      </c>
      <c r="B9" s="1">
        <f>base_monthly_revenue*(1+annual_revenue_growth)^0</f>
        <v/>
      </c>
      <c r="C9" s="1">
        <f>B9*vacancy_rate</f>
        <v/>
      </c>
      <c r="D9" s="1">
        <f>(B9-C9)*credit_loss_rate</f>
        <v/>
      </c>
      <c r="E9" s="1">
        <f>B9-C9-D9</f>
        <v/>
      </c>
      <c r="F9" s="1">
        <f>base_monthly_operating_expenses*(1+annual_expense_growth)^0</f>
        <v/>
      </c>
      <c r="G9" s="1">
        <f>monthly_reserves</f>
        <v/>
      </c>
      <c r="H9" s="1">
        <f>E9-F9</f>
        <v/>
      </c>
      <c r="I9" s="1">
        <f>H9-G9</f>
        <v/>
      </c>
    </row>
    <row r="10">
      <c r="A10" t="inlineStr">
        <is>
          <t>Month 9</t>
        </is>
      </c>
      <c r="B10" s="1">
        <f>base_monthly_revenue*(1+annual_revenue_growth)^0</f>
        <v/>
      </c>
      <c r="C10" s="1">
        <f>B10*vacancy_rate</f>
        <v/>
      </c>
      <c r="D10" s="1">
        <f>(B10-C10)*credit_loss_rate</f>
        <v/>
      </c>
      <c r="E10" s="1">
        <f>B10-C10-D10</f>
        <v/>
      </c>
      <c r="F10" s="1">
        <f>base_monthly_operating_expenses*(1+annual_expense_growth)^0</f>
        <v/>
      </c>
      <c r="G10" s="1">
        <f>monthly_reserves</f>
        <v/>
      </c>
      <c r="H10" s="1">
        <f>E10-F10</f>
        <v/>
      </c>
      <c r="I10" s="1">
        <f>H10-G10</f>
        <v/>
      </c>
    </row>
    <row r="11">
      <c r="A11" t="inlineStr">
        <is>
          <t>Month 10</t>
        </is>
      </c>
      <c r="B11" s="1">
        <f>base_monthly_revenue*(1+annual_revenue_growth)^0</f>
        <v/>
      </c>
      <c r="C11" s="1">
        <f>B11*vacancy_rate</f>
        <v/>
      </c>
      <c r="D11" s="1">
        <f>(B11-C11)*credit_loss_rate</f>
        <v/>
      </c>
      <c r="E11" s="1">
        <f>B11-C11-D11</f>
        <v/>
      </c>
      <c r="F11" s="1">
        <f>base_monthly_operating_expenses*(1+annual_expense_growth)^0</f>
        <v/>
      </c>
      <c r="G11" s="1">
        <f>monthly_reserves</f>
        <v/>
      </c>
      <c r="H11" s="1">
        <f>E11-F11</f>
        <v/>
      </c>
      <c r="I11" s="1">
        <f>H11-G11</f>
        <v/>
      </c>
    </row>
    <row r="12">
      <c r="A12" t="inlineStr">
        <is>
          <t>Month 11</t>
        </is>
      </c>
      <c r="B12" s="1">
        <f>base_monthly_revenue*(1+annual_revenue_growth)^0</f>
        <v/>
      </c>
      <c r="C12" s="1">
        <f>B12*vacancy_rate</f>
        <v/>
      </c>
      <c r="D12" s="1">
        <f>(B12-C12)*credit_loss_rate</f>
        <v/>
      </c>
      <c r="E12" s="1">
        <f>B12-C12-D12</f>
        <v/>
      </c>
      <c r="F12" s="1">
        <f>base_monthly_operating_expenses*(1+annual_expense_growth)^0</f>
        <v/>
      </c>
      <c r="G12" s="1">
        <f>monthly_reserves</f>
        <v/>
      </c>
      <c r="H12" s="1">
        <f>E12-F12</f>
        <v/>
      </c>
      <c r="I12" s="1">
        <f>H12-G12</f>
        <v/>
      </c>
    </row>
    <row r="13">
      <c r="A13" t="inlineStr">
        <is>
          <t>Month 12</t>
        </is>
      </c>
      <c r="B13" s="1">
        <f>base_monthly_revenue*(1+annual_revenue_growth)^0</f>
        <v/>
      </c>
      <c r="C13" s="1">
        <f>B13*vacancy_rate</f>
        <v/>
      </c>
      <c r="D13" s="1">
        <f>(B13-C13)*credit_loss_rate</f>
        <v/>
      </c>
      <c r="E13" s="1">
        <f>B13-C13-D13</f>
        <v/>
      </c>
      <c r="F13" s="1">
        <f>base_monthly_operating_expenses*(1+annual_expense_growth)^0</f>
        <v/>
      </c>
      <c r="G13" s="1">
        <f>monthly_reserves</f>
        <v/>
      </c>
      <c r="H13" s="1">
        <f>E13-F13</f>
        <v/>
      </c>
      <c r="I13" s="1">
        <f>H13-G13</f>
        <v/>
      </c>
    </row>
    <row r="14">
      <c r="A14" t="inlineStr">
        <is>
          <t>Month 13</t>
        </is>
      </c>
      <c r="B14" s="1">
        <f>base_monthly_revenue*(1+annual_revenue_growth)^1</f>
        <v/>
      </c>
      <c r="C14" s="1">
        <f>B14*vacancy_rate</f>
        <v/>
      </c>
      <c r="D14" s="1">
        <f>(B14-C14)*credit_loss_rate</f>
        <v/>
      </c>
      <c r="E14" s="1">
        <f>B14-C14-D14</f>
        <v/>
      </c>
      <c r="F14" s="1">
        <f>base_monthly_operating_expenses*(1+annual_expense_growth)^1</f>
        <v/>
      </c>
      <c r="G14" s="1">
        <f>monthly_reserves</f>
        <v/>
      </c>
      <c r="H14" s="1">
        <f>E14-F14</f>
        <v/>
      </c>
      <c r="I14" s="1">
        <f>H14-G14</f>
        <v/>
      </c>
    </row>
    <row r="15">
      <c r="A15" t="inlineStr">
        <is>
          <t>Month 14</t>
        </is>
      </c>
      <c r="B15" s="1">
        <f>base_monthly_revenue*(1+annual_revenue_growth)^1</f>
        <v/>
      </c>
      <c r="C15" s="1">
        <f>B15*vacancy_rate</f>
        <v/>
      </c>
      <c r="D15" s="1">
        <f>(B15-C15)*credit_loss_rate</f>
        <v/>
      </c>
      <c r="E15" s="1">
        <f>B15-C15-D15</f>
        <v/>
      </c>
      <c r="F15" s="1">
        <f>base_monthly_operating_expenses*(1+annual_expense_growth)^1</f>
        <v/>
      </c>
      <c r="G15" s="1">
        <f>monthly_reserves</f>
        <v/>
      </c>
      <c r="H15" s="1">
        <f>E15-F15</f>
        <v/>
      </c>
      <c r="I15" s="1">
        <f>H15-G15</f>
        <v/>
      </c>
    </row>
    <row r="16">
      <c r="A16" t="inlineStr">
        <is>
          <t>Month 15</t>
        </is>
      </c>
      <c r="B16" s="1">
        <f>base_monthly_revenue*(1+annual_revenue_growth)^1</f>
        <v/>
      </c>
      <c r="C16" s="1">
        <f>B16*vacancy_rate</f>
        <v/>
      </c>
      <c r="D16" s="1">
        <f>(B16-C16)*credit_loss_rate</f>
        <v/>
      </c>
      <c r="E16" s="1">
        <f>B16-C16-D16</f>
        <v/>
      </c>
      <c r="F16" s="1">
        <f>base_monthly_operating_expenses*(1+annual_expense_growth)^1</f>
        <v/>
      </c>
      <c r="G16" s="1">
        <f>monthly_reserves</f>
        <v/>
      </c>
      <c r="H16" s="1">
        <f>E16-F16</f>
        <v/>
      </c>
      <c r="I16" s="1">
        <f>H16-G16</f>
        <v/>
      </c>
    </row>
    <row r="17">
      <c r="A17" t="inlineStr">
        <is>
          <t>Month 16</t>
        </is>
      </c>
      <c r="B17" s="1">
        <f>base_monthly_revenue*(1+annual_revenue_growth)^1</f>
        <v/>
      </c>
      <c r="C17" s="1">
        <f>B17*vacancy_rate</f>
        <v/>
      </c>
      <c r="D17" s="1">
        <f>(B17-C17)*credit_loss_rate</f>
        <v/>
      </c>
      <c r="E17" s="1">
        <f>B17-C17-D17</f>
        <v/>
      </c>
      <c r="F17" s="1">
        <f>base_monthly_operating_expenses*(1+annual_expense_growth)^1</f>
        <v/>
      </c>
      <c r="G17" s="1">
        <f>monthly_reserves</f>
        <v/>
      </c>
      <c r="H17" s="1">
        <f>E17-F17</f>
        <v/>
      </c>
      <c r="I17" s="1">
        <f>H17-G17</f>
        <v/>
      </c>
    </row>
    <row r="18">
      <c r="A18" t="inlineStr">
        <is>
          <t>Month 17</t>
        </is>
      </c>
      <c r="B18" s="1">
        <f>base_monthly_revenue*(1+annual_revenue_growth)^1</f>
        <v/>
      </c>
      <c r="C18" s="1">
        <f>B18*vacancy_rate</f>
        <v/>
      </c>
      <c r="D18" s="1">
        <f>(B18-C18)*credit_loss_rate</f>
        <v/>
      </c>
      <c r="E18" s="1">
        <f>B18-C18-D18</f>
        <v/>
      </c>
      <c r="F18" s="1">
        <f>base_monthly_operating_expenses*(1+annual_expense_growth)^1</f>
        <v/>
      </c>
      <c r="G18" s="1">
        <f>monthly_reserves</f>
        <v/>
      </c>
      <c r="H18" s="1">
        <f>E18-F18</f>
        <v/>
      </c>
      <c r="I18" s="1">
        <f>H18-G18</f>
        <v/>
      </c>
    </row>
    <row r="19">
      <c r="A19" t="inlineStr">
        <is>
          <t>Month 18</t>
        </is>
      </c>
      <c r="B19" s="1">
        <f>base_monthly_revenue*(1+annual_revenue_growth)^1</f>
        <v/>
      </c>
      <c r="C19" s="1">
        <f>B19*vacancy_rate</f>
        <v/>
      </c>
      <c r="D19" s="1">
        <f>(B19-C19)*credit_loss_rate</f>
        <v/>
      </c>
      <c r="E19" s="1">
        <f>B19-C19-D19</f>
        <v/>
      </c>
      <c r="F19" s="1">
        <f>base_monthly_operating_expenses*(1+annual_expense_growth)^1</f>
        <v/>
      </c>
      <c r="G19" s="1">
        <f>monthly_reserves</f>
        <v/>
      </c>
      <c r="H19" s="1">
        <f>E19-F19</f>
        <v/>
      </c>
      <c r="I19" s="1">
        <f>H19-G19</f>
        <v/>
      </c>
    </row>
    <row r="20">
      <c r="A20" t="inlineStr">
        <is>
          <t>Month 19</t>
        </is>
      </c>
      <c r="B20" s="1">
        <f>base_monthly_revenue*(1+annual_revenue_growth)^1</f>
        <v/>
      </c>
      <c r="C20" s="1">
        <f>B20*vacancy_rate</f>
        <v/>
      </c>
      <c r="D20" s="1">
        <f>(B20-C20)*credit_loss_rate</f>
        <v/>
      </c>
      <c r="E20" s="1">
        <f>B20-C20-D20</f>
        <v/>
      </c>
      <c r="F20" s="1">
        <f>base_monthly_operating_expenses*(1+annual_expense_growth)^1</f>
        <v/>
      </c>
      <c r="G20" s="1">
        <f>monthly_reserves</f>
        <v/>
      </c>
      <c r="H20" s="1">
        <f>E20-F20</f>
        <v/>
      </c>
      <c r="I20" s="1">
        <f>H20-G20</f>
        <v/>
      </c>
    </row>
    <row r="21">
      <c r="A21" t="inlineStr">
        <is>
          <t>Month 20</t>
        </is>
      </c>
      <c r="B21" s="1">
        <f>base_monthly_revenue*(1+annual_revenue_growth)^1</f>
        <v/>
      </c>
      <c r="C21" s="1">
        <f>B21*vacancy_rate</f>
        <v/>
      </c>
      <c r="D21" s="1">
        <f>(B21-C21)*credit_loss_rate</f>
        <v/>
      </c>
      <c r="E21" s="1">
        <f>B21-C21-D21</f>
        <v/>
      </c>
      <c r="F21" s="1">
        <f>base_monthly_operating_expenses*(1+annual_expense_growth)^1</f>
        <v/>
      </c>
      <c r="G21" s="1">
        <f>monthly_reserves</f>
        <v/>
      </c>
      <c r="H21" s="1">
        <f>E21-F21</f>
        <v/>
      </c>
      <c r="I21" s="1">
        <f>H21-G21</f>
        <v/>
      </c>
    </row>
    <row r="22">
      <c r="A22" t="inlineStr">
        <is>
          <t>Month 21</t>
        </is>
      </c>
      <c r="B22" s="1">
        <f>base_monthly_revenue*(1+annual_revenue_growth)^1</f>
        <v/>
      </c>
      <c r="C22" s="1">
        <f>B22*vacancy_rate</f>
        <v/>
      </c>
      <c r="D22" s="1">
        <f>(B22-C22)*credit_loss_rate</f>
        <v/>
      </c>
      <c r="E22" s="1">
        <f>B22-C22-D22</f>
        <v/>
      </c>
      <c r="F22" s="1">
        <f>base_monthly_operating_expenses*(1+annual_expense_growth)^1</f>
        <v/>
      </c>
      <c r="G22" s="1">
        <f>monthly_reserves</f>
        <v/>
      </c>
      <c r="H22" s="1">
        <f>E22-F22</f>
        <v/>
      </c>
      <c r="I22" s="1">
        <f>H22-G22</f>
        <v/>
      </c>
    </row>
    <row r="23">
      <c r="A23" t="inlineStr">
        <is>
          <t>Month 22</t>
        </is>
      </c>
      <c r="B23" s="1">
        <f>base_monthly_revenue*(1+annual_revenue_growth)^1</f>
        <v/>
      </c>
      <c r="C23" s="1">
        <f>B23*vacancy_rate</f>
        <v/>
      </c>
      <c r="D23" s="1">
        <f>(B23-C23)*credit_loss_rate</f>
        <v/>
      </c>
      <c r="E23" s="1">
        <f>B23-C23-D23</f>
        <v/>
      </c>
      <c r="F23" s="1">
        <f>base_monthly_operating_expenses*(1+annual_expense_growth)^1</f>
        <v/>
      </c>
      <c r="G23" s="1">
        <f>monthly_reserves</f>
        <v/>
      </c>
      <c r="H23" s="1">
        <f>E23-F23</f>
        <v/>
      </c>
      <c r="I23" s="1">
        <f>H23-G23</f>
        <v/>
      </c>
    </row>
    <row r="24">
      <c r="A24" t="inlineStr">
        <is>
          <t>Month 23</t>
        </is>
      </c>
      <c r="B24" s="1">
        <f>base_monthly_revenue*(1+annual_revenue_growth)^1</f>
        <v/>
      </c>
      <c r="C24" s="1">
        <f>B24*vacancy_rate</f>
        <v/>
      </c>
      <c r="D24" s="1">
        <f>(B24-C24)*credit_loss_rate</f>
        <v/>
      </c>
      <c r="E24" s="1">
        <f>B24-C24-D24</f>
        <v/>
      </c>
      <c r="F24" s="1">
        <f>base_monthly_operating_expenses*(1+annual_expense_growth)^1</f>
        <v/>
      </c>
      <c r="G24" s="1">
        <f>monthly_reserves</f>
        <v/>
      </c>
      <c r="H24" s="1">
        <f>E24-F24</f>
        <v/>
      </c>
      <c r="I24" s="1">
        <f>H24-G24</f>
        <v/>
      </c>
    </row>
    <row r="25">
      <c r="A25" t="inlineStr">
        <is>
          <t>Month 24</t>
        </is>
      </c>
      <c r="B25" s="1">
        <f>base_monthly_revenue*(1+annual_revenue_growth)^1</f>
        <v/>
      </c>
      <c r="C25" s="1">
        <f>B25*vacancy_rate</f>
        <v/>
      </c>
      <c r="D25" s="1">
        <f>(B25-C25)*credit_loss_rate</f>
        <v/>
      </c>
      <c r="E25" s="1">
        <f>B25-C25-D25</f>
        <v/>
      </c>
      <c r="F25" s="1">
        <f>base_monthly_operating_expenses*(1+annual_expense_growth)^1</f>
        <v/>
      </c>
      <c r="G25" s="1">
        <f>monthly_reserves</f>
        <v/>
      </c>
      <c r="H25" s="1">
        <f>E25-F25</f>
        <v/>
      </c>
      <c r="I25" s="1">
        <f>H25-G25</f>
        <v/>
      </c>
    </row>
    <row r="26">
      <c r="A26" t="inlineStr">
        <is>
          <t>Month 25</t>
        </is>
      </c>
      <c r="B26" s="1">
        <f>base_monthly_revenue*(1+annual_revenue_growth)^2</f>
        <v/>
      </c>
      <c r="C26" s="1">
        <f>B26*vacancy_rate</f>
        <v/>
      </c>
      <c r="D26" s="1">
        <f>(B26-C26)*credit_loss_rate</f>
        <v/>
      </c>
      <c r="E26" s="1">
        <f>B26-C26-D26</f>
        <v/>
      </c>
      <c r="F26" s="1">
        <f>base_monthly_operating_expenses*(1+annual_expense_growth)^2</f>
        <v/>
      </c>
      <c r="G26" s="1">
        <f>monthly_reserves</f>
        <v/>
      </c>
      <c r="H26" s="1">
        <f>E26-F26</f>
        <v/>
      </c>
      <c r="I26" s="1">
        <f>H26-G26</f>
        <v/>
      </c>
    </row>
    <row r="27">
      <c r="A27" t="inlineStr">
        <is>
          <t>Month 26</t>
        </is>
      </c>
      <c r="B27" s="1">
        <f>base_monthly_revenue*(1+annual_revenue_growth)^2</f>
        <v/>
      </c>
      <c r="C27" s="1">
        <f>B27*vacancy_rate</f>
        <v/>
      </c>
      <c r="D27" s="1">
        <f>(B27-C27)*credit_loss_rate</f>
        <v/>
      </c>
      <c r="E27" s="1">
        <f>B27-C27-D27</f>
        <v/>
      </c>
      <c r="F27" s="1">
        <f>base_monthly_operating_expenses*(1+annual_expense_growth)^2</f>
        <v/>
      </c>
      <c r="G27" s="1">
        <f>monthly_reserves</f>
        <v/>
      </c>
      <c r="H27" s="1">
        <f>E27-F27</f>
        <v/>
      </c>
      <c r="I27" s="1">
        <f>H27-G27</f>
        <v/>
      </c>
    </row>
    <row r="28">
      <c r="A28" t="inlineStr">
        <is>
          <t>Month 27</t>
        </is>
      </c>
      <c r="B28" s="1">
        <f>base_monthly_revenue*(1+annual_revenue_growth)^2</f>
        <v/>
      </c>
      <c r="C28" s="1">
        <f>B28*vacancy_rate</f>
        <v/>
      </c>
      <c r="D28" s="1">
        <f>(B28-C28)*credit_loss_rate</f>
        <v/>
      </c>
      <c r="E28" s="1">
        <f>B28-C28-D28</f>
        <v/>
      </c>
      <c r="F28" s="1">
        <f>base_monthly_operating_expenses*(1+annual_expense_growth)^2</f>
        <v/>
      </c>
      <c r="G28" s="1">
        <f>monthly_reserves</f>
        <v/>
      </c>
      <c r="H28" s="1">
        <f>E28-F28</f>
        <v/>
      </c>
      <c r="I28" s="1">
        <f>H28-G28</f>
        <v/>
      </c>
    </row>
    <row r="29">
      <c r="A29" t="inlineStr">
        <is>
          <t>Month 28</t>
        </is>
      </c>
      <c r="B29" s="1">
        <f>base_monthly_revenue*(1+annual_revenue_growth)^2</f>
        <v/>
      </c>
      <c r="C29" s="1">
        <f>B29*vacancy_rate</f>
        <v/>
      </c>
      <c r="D29" s="1">
        <f>(B29-C29)*credit_loss_rate</f>
        <v/>
      </c>
      <c r="E29" s="1">
        <f>B29-C29-D29</f>
        <v/>
      </c>
      <c r="F29" s="1">
        <f>base_monthly_operating_expenses*(1+annual_expense_growth)^2</f>
        <v/>
      </c>
      <c r="G29" s="1">
        <f>monthly_reserves</f>
        <v/>
      </c>
      <c r="H29" s="1">
        <f>E29-F29</f>
        <v/>
      </c>
      <c r="I29" s="1">
        <f>H29-G29</f>
        <v/>
      </c>
    </row>
    <row r="30">
      <c r="A30" t="inlineStr">
        <is>
          <t>Month 29</t>
        </is>
      </c>
      <c r="B30" s="1">
        <f>base_monthly_revenue*(1+annual_revenue_growth)^2</f>
        <v/>
      </c>
      <c r="C30" s="1">
        <f>B30*vacancy_rate</f>
        <v/>
      </c>
      <c r="D30" s="1">
        <f>(B30-C30)*credit_loss_rate</f>
        <v/>
      </c>
      <c r="E30" s="1">
        <f>B30-C30-D30</f>
        <v/>
      </c>
      <c r="F30" s="1">
        <f>base_monthly_operating_expenses*(1+annual_expense_growth)^2</f>
        <v/>
      </c>
      <c r="G30" s="1">
        <f>monthly_reserves</f>
        <v/>
      </c>
      <c r="H30" s="1">
        <f>E30-F30</f>
        <v/>
      </c>
      <c r="I30" s="1">
        <f>H30-G30</f>
        <v/>
      </c>
    </row>
    <row r="31">
      <c r="A31" t="inlineStr">
        <is>
          <t>Month 30</t>
        </is>
      </c>
      <c r="B31" s="1">
        <f>base_monthly_revenue*(1+annual_revenue_growth)^2</f>
        <v/>
      </c>
      <c r="C31" s="1">
        <f>B31*vacancy_rate</f>
        <v/>
      </c>
      <c r="D31" s="1">
        <f>(B31-C31)*credit_loss_rate</f>
        <v/>
      </c>
      <c r="E31" s="1">
        <f>B31-C31-D31</f>
        <v/>
      </c>
      <c r="F31" s="1">
        <f>base_monthly_operating_expenses*(1+annual_expense_growth)^2</f>
        <v/>
      </c>
      <c r="G31" s="1">
        <f>monthly_reserves</f>
        <v/>
      </c>
      <c r="H31" s="1">
        <f>E31-F31</f>
        <v/>
      </c>
      <c r="I31" s="1">
        <f>H31-G31</f>
        <v/>
      </c>
    </row>
    <row r="32">
      <c r="A32" t="inlineStr">
        <is>
          <t>Month 31</t>
        </is>
      </c>
      <c r="B32" s="1">
        <f>base_monthly_revenue*(1+annual_revenue_growth)^2</f>
        <v/>
      </c>
      <c r="C32" s="1">
        <f>B32*vacancy_rate</f>
        <v/>
      </c>
      <c r="D32" s="1">
        <f>(B32-C32)*credit_loss_rate</f>
        <v/>
      </c>
      <c r="E32" s="1">
        <f>B32-C32-D32</f>
        <v/>
      </c>
      <c r="F32" s="1">
        <f>base_monthly_operating_expenses*(1+annual_expense_growth)^2</f>
        <v/>
      </c>
      <c r="G32" s="1">
        <f>monthly_reserves</f>
        <v/>
      </c>
      <c r="H32" s="1">
        <f>E32-F32</f>
        <v/>
      </c>
      <c r="I32" s="1">
        <f>H32-G32</f>
        <v/>
      </c>
    </row>
    <row r="33">
      <c r="A33" t="inlineStr">
        <is>
          <t>Month 32</t>
        </is>
      </c>
      <c r="B33" s="1">
        <f>base_monthly_revenue*(1+annual_revenue_growth)^2</f>
        <v/>
      </c>
      <c r="C33" s="1">
        <f>B33*vacancy_rate</f>
        <v/>
      </c>
      <c r="D33" s="1">
        <f>(B33-C33)*credit_loss_rate</f>
        <v/>
      </c>
      <c r="E33" s="1">
        <f>B33-C33-D33</f>
        <v/>
      </c>
      <c r="F33" s="1">
        <f>base_monthly_operating_expenses*(1+annual_expense_growth)^2</f>
        <v/>
      </c>
      <c r="G33" s="1">
        <f>monthly_reserves</f>
        <v/>
      </c>
      <c r="H33" s="1">
        <f>E33-F33</f>
        <v/>
      </c>
      <c r="I33" s="1">
        <f>H33-G33</f>
        <v/>
      </c>
    </row>
    <row r="34">
      <c r="A34" t="inlineStr">
        <is>
          <t>Month 33</t>
        </is>
      </c>
      <c r="B34" s="1">
        <f>base_monthly_revenue*(1+annual_revenue_growth)^2</f>
        <v/>
      </c>
      <c r="C34" s="1">
        <f>B34*vacancy_rate</f>
        <v/>
      </c>
      <c r="D34" s="1">
        <f>(B34-C34)*credit_loss_rate</f>
        <v/>
      </c>
      <c r="E34" s="1">
        <f>B34-C34-D34</f>
        <v/>
      </c>
      <c r="F34" s="1">
        <f>base_monthly_operating_expenses*(1+annual_expense_growth)^2</f>
        <v/>
      </c>
      <c r="G34" s="1">
        <f>monthly_reserves</f>
        <v/>
      </c>
      <c r="H34" s="1">
        <f>E34-F34</f>
        <v/>
      </c>
      <c r="I34" s="1">
        <f>H34-G34</f>
        <v/>
      </c>
    </row>
    <row r="35">
      <c r="A35" t="inlineStr">
        <is>
          <t>Month 34</t>
        </is>
      </c>
      <c r="B35" s="1">
        <f>base_monthly_revenue*(1+annual_revenue_growth)^2</f>
        <v/>
      </c>
      <c r="C35" s="1">
        <f>B35*vacancy_rate</f>
        <v/>
      </c>
      <c r="D35" s="1">
        <f>(B35-C35)*credit_loss_rate</f>
        <v/>
      </c>
      <c r="E35" s="1">
        <f>B35-C35-D35</f>
        <v/>
      </c>
      <c r="F35" s="1">
        <f>base_monthly_operating_expenses*(1+annual_expense_growth)^2</f>
        <v/>
      </c>
      <c r="G35" s="1">
        <f>monthly_reserves</f>
        <v/>
      </c>
      <c r="H35" s="1">
        <f>E35-F35</f>
        <v/>
      </c>
      <c r="I35" s="1">
        <f>H35-G35</f>
        <v/>
      </c>
    </row>
    <row r="36">
      <c r="A36" t="inlineStr">
        <is>
          <t>Month 35</t>
        </is>
      </c>
      <c r="B36" s="1">
        <f>base_monthly_revenue*(1+annual_revenue_growth)^2</f>
        <v/>
      </c>
      <c r="C36" s="1">
        <f>B36*vacancy_rate</f>
        <v/>
      </c>
      <c r="D36" s="1">
        <f>(B36-C36)*credit_loss_rate</f>
        <v/>
      </c>
      <c r="E36" s="1">
        <f>B36-C36-D36</f>
        <v/>
      </c>
      <c r="F36" s="1">
        <f>base_monthly_operating_expenses*(1+annual_expense_growth)^2</f>
        <v/>
      </c>
      <c r="G36" s="1">
        <f>monthly_reserves</f>
        <v/>
      </c>
      <c r="H36" s="1">
        <f>E36-F36</f>
        <v/>
      </c>
      <c r="I36" s="1">
        <f>H36-G36</f>
        <v/>
      </c>
    </row>
    <row r="37">
      <c r="A37" t="inlineStr">
        <is>
          <t>Month 36</t>
        </is>
      </c>
      <c r="B37" s="1">
        <f>base_monthly_revenue*(1+annual_revenue_growth)^2</f>
        <v/>
      </c>
      <c r="C37" s="1">
        <f>B37*vacancy_rate</f>
        <v/>
      </c>
      <c r="D37" s="1">
        <f>(B37-C37)*credit_loss_rate</f>
        <v/>
      </c>
      <c r="E37" s="1">
        <f>B37-C37-D37</f>
        <v/>
      </c>
      <c r="F37" s="1">
        <f>base_monthly_operating_expenses*(1+annual_expense_growth)^2</f>
        <v/>
      </c>
      <c r="G37" s="1">
        <f>monthly_reserves</f>
        <v/>
      </c>
      <c r="H37" s="1">
        <f>E37-F37</f>
        <v/>
      </c>
      <c r="I37" s="1">
        <f>H37-G37</f>
        <v/>
      </c>
    </row>
    <row r="38">
      <c r="A38" t="inlineStr">
        <is>
          <t>Month 37</t>
        </is>
      </c>
      <c r="B38" s="1">
        <f>base_monthly_revenue*(1+annual_revenue_growth)^3</f>
        <v/>
      </c>
      <c r="C38" s="1">
        <f>B38*vacancy_rate</f>
        <v/>
      </c>
      <c r="D38" s="1">
        <f>(B38-C38)*credit_loss_rate</f>
        <v/>
      </c>
      <c r="E38" s="1">
        <f>B38-C38-D38</f>
        <v/>
      </c>
      <c r="F38" s="1">
        <f>base_monthly_operating_expenses*(1+annual_expense_growth)^3</f>
        <v/>
      </c>
      <c r="G38" s="1">
        <f>monthly_reserves</f>
        <v/>
      </c>
      <c r="H38" s="1">
        <f>E38-F38</f>
        <v/>
      </c>
      <c r="I38" s="1">
        <f>H38-G38</f>
        <v/>
      </c>
    </row>
    <row r="39">
      <c r="A39" t="inlineStr">
        <is>
          <t>Month 38</t>
        </is>
      </c>
      <c r="B39" s="1">
        <f>base_monthly_revenue*(1+annual_revenue_growth)^3</f>
        <v/>
      </c>
      <c r="C39" s="1">
        <f>B39*vacancy_rate</f>
        <v/>
      </c>
      <c r="D39" s="1">
        <f>(B39-C39)*credit_loss_rate</f>
        <v/>
      </c>
      <c r="E39" s="1">
        <f>B39-C39-D39</f>
        <v/>
      </c>
      <c r="F39" s="1">
        <f>base_monthly_operating_expenses*(1+annual_expense_growth)^3</f>
        <v/>
      </c>
      <c r="G39" s="1">
        <f>monthly_reserves</f>
        <v/>
      </c>
      <c r="H39" s="1">
        <f>E39-F39</f>
        <v/>
      </c>
      <c r="I39" s="1">
        <f>H39-G39</f>
        <v/>
      </c>
    </row>
    <row r="40">
      <c r="A40" t="inlineStr">
        <is>
          <t>Month 39</t>
        </is>
      </c>
      <c r="B40" s="1">
        <f>base_monthly_revenue*(1+annual_revenue_growth)^3</f>
        <v/>
      </c>
      <c r="C40" s="1">
        <f>B40*vacancy_rate</f>
        <v/>
      </c>
      <c r="D40" s="1">
        <f>(B40-C40)*credit_loss_rate</f>
        <v/>
      </c>
      <c r="E40" s="1">
        <f>B40-C40-D40</f>
        <v/>
      </c>
      <c r="F40" s="1">
        <f>base_monthly_operating_expenses*(1+annual_expense_growth)^3</f>
        <v/>
      </c>
      <c r="G40" s="1">
        <f>monthly_reserves</f>
        <v/>
      </c>
      <c r="H40" s="1">
        <f>E40-F40</f>
        <v/>
      </c>
      <c r="I40" s="1">
        <f>H40-G40</f>
        <v/>
      </c>
    </row>
    <row r="41">
      <c r="A41" t="inlineStr">
        <is>
          <t>Month 40</t>
        </is>
      </c>
      <c r="B41" s="1">
        <f>base_monthly_revenue*(1+annual_revenue_growth)^3</f>
        <v/>
      </c>
      <c r="C41" s="1">
        <f>B41*vacancy_rate</f>
        <v/>
      </c>
      <c r="D41" s="1">
        <f>(B41-C41)*credit_loss_rate</f>
        <v/>
      </c>
      <c r="E41" s="1">
        <f>B41-C41-D41</f>
        <v/>
      </c>
      <c r="F41" s="1">
        <f>base_monthly_operating_expenses*(1+annual_expense_growth)^3</f>
        <v/>
      </c>
      <c r="G41" s="1">
        <f>monthly_reserves</f>
        <v/>
      </c>
      <c r="H41" s="1">
        <f>E41-F41</f>
        <v/>
      </c>
      <c r="I41" s="1">
        <f>H41-G41</f>
        <v/>
      </c>
    </row>
    <row r="42">
      <c r="A42" t="inlineStr">
        <is>
          <t>Month 41</t>
        </is>
      </c>
      <c r="B42" s="1">
        <f>base_monthly_revenue*(1+annual_revenue_growth)^3</f>
        <v/>
      </c>
      <c r="C42" s="1">
        <f>B42*vacancy_rate</f>
        <v/>
      </c>
      <c r="D42" s="1">
        <f>(B42-C42)*credit_loss_rate</f>
        <v/>
      </c>
      <c r="E42" s="1">
        <f>B42-C42-D42</f>
        <v/>
      </c>
      <c r="F42" s="1">
        <f>base_monthly_operating_expenses*(1+annual_expense_growth)^3</f>
        <v/>
      </c>
      <c r="G42" s="1">
        <f>monthly_reserves</f>
        <v/>
      </c>
      <c r="H42" s="1">
        <f>E42-F42</f>
        <v/>
      </c>
      <c r="I42" s="1">
        <f>H42-G42</f>
        <v/>
      </c>
    </row>
    <row r="43">
      <c r="A43" t="inlineStr">
        <is>
          <t>Month 42</t>
        </is>
      </c>
      <c r="B43" s="1">
        <f>base_monthly_revenue*(1+annual_revenue_growth)^3</f>
        <v/>
      </c>
      <c r="C43" s="1">
        <f>B43*vacancy_rate</f>
        <v/>
      </c>
      <c r="D43" s="1">
        <f>(B43-C43)*credit_loss_rate</f>
        <v/>
      </c>
      <c r="E43" s="1">
        <f>B43-C43-D43</f>
        <v/>
      </c>
      <c r="F43" s="1">
        <f>base_monthly_operating_expenses*(1+annual_expense_growth)^3</f>
        <v/>
      </c>
      <c r="G43" s="1">
        <f>monthly_reserves</f>
        <v/>
      </c>
      <c r="H43" s="1">
        <f>E43-F43</f>
        <v/>
      </c>
      <c r="I43" s="1">
        <f>H43-G43</f>
        <v/>
      </c>
    </row>
    <row r="44">
      <c r="A44" t="inlineStr">
        <is>
          <t>Month 43</t>
        </is>
      </c>
      <c r="B44" s="1">
        <f>base_monthly_revenue*(1+annual_revenue_growth)^3</f>
        <v/>
      </c>
      <c r="C44" s="1">
        <f>B44*vacancy_rate</f>
        <v/>
      </c>
      <c r="D44" s="1">
        <f>(B44-C44)*credit_loss_rate</f>
        <v/>
      </c>
      <c r="E44" s="1">
        <f>B44-C44-D44</f>
        <v/>
      </c>
      <c r="F44" s="1">
        <f>base_monthly_operating_expenses*(1+annual_expense_growth)^3</f>
        <v/>
      </c>
      <c r="G44" s="1">
        <f>monthly_reserves</f>
        <v/>
      </c>
      <c r="H44" s="1">
        <f>E44-F44</f>
        <v/>
      </c>
      <c r="I44" s="1">
        <f>H44-G44</f>
        <v/>
      </c>
    </row>
    <row r="45">
      <c r="A45" t="inlineStr">
        <is>
          <t>Month 44</t>
        </is>
      </c>
      <c r="B45" s="1">
        <f>base_monthly_revenue*(1+annual_revenue_growth)^3</f>
        <v/>
      </c>
      <c r="C45" s="1">
        <f>B45*vacancy_rate</f>
        <v/>
      </c>
      <c r="D45" s="1">
        <f>(B45-C45)*credit_loss_rate</f>
        <v/>
      </c>
      <c r="E45" s="1">
        <f>B45-C45-D45</f>
        <v/>
      </c>
      <c r="F45" s="1">
        <f>base_monthly_operating_expenses*(1+annual_expense_growth)^3</f>
        <v/>
      </c>
      <c r="G45" s="1">
        <f>monthly_reserves</f>
        <v/>
      </c>
      <c r="H45" s="1">
        <f>E45-F45</f>
        <v/>
      </c>
      <c r="I45" s="1">
        <f>H45-G45</f>
        <v/>
      </c>
    </row>
    <row r="46">
      <c r="A46" t="inlineStr">
        <is>
          <t>Month 45</t>
        </is>
      </c>
      <c r="B46" s="1">
        <f>base_monthly_revenue*(1+annual_revenue_growth)^3</f>
        <v/>
      </c>
      <c r="C46" s="1">
        <f>B46*vacancy_rate</f>
        <v/>
      </c>
      <c r="D46" s="1">
        <f>(B46-C46)*credit_loss_rate</f>
        <v/>
      </c>
      <c r="E46" s="1">
        <f>B46-C46-D46</f>
        <v/>
      </c>
      <c r="F46" s="1">
        <f>base_monthly_operating_expenses*(1+annual_expense_growth)^3</f>
        <v/>
      </c>
      <c r="G46" s="1">
        <f>monthly_reserves</f>
        <v/>
      </c>
      <c r="H46" s="1">
        <f>E46-F46</f>
        <v/>
      </c>
      <c r="I46" s="1">
        <f>H46-G46</f>
        <v/>
      </c>
    </row>
    <row r="47">
      <c r="A47" t="inlineStr">
        <is>
          <t>Month 46</t>
        </is>
      </c>
      <c r="B47" s="1">
        <f>base_monthly_revenue*(1+annual_revenue_growth)^3</f>
        <v/>
      </c>
      <c r="C47" s="1">
        <f>B47*vacancy_rate</f>
        <v/>
      </c>
      <c r="D47" s="1">
        <f>(B47-C47)*credit_loss_rate</f>
        <v/>
      </c>
      <c r="E47" s="1">
        <f>B47-C47-D47</f>
        <v/>
      </c>
      <c r="F47" s="1">
        <f>base_monthly_operating_expenses*(1+annual_expense_growth)^3</f>
        <v/>
      </c>
      <c r="G47" s="1">
        <f>monthly_reserves</f>
        <v/>
      </c>
      <c r="H47" s="1">
        <f>E47-F47</f>
        <v/>
      </c>
      <c r="I47" s="1">
        <f>H47-G47</f>
        <v/>
      </c>
    </row>
    <row r="48">
      <c r="A48" t="inlineStr">
        <is>
          <t>Month 47</t>
        </is>
      </c>
      <c r="B48" s="1">
        <f>base_monthly_revenue*(1+annual_revenue_growth)^3</f>
        <v/>
      </c>
      <c r="C48" s="1">
        <f>B48*vacancy_rate</f>
        <v/>
      </c>
      <c r="D48" s="1">
        <f>(B48-C48)*credit_loss_rate</f>
        <v/>
      </c>
      <c r="E48" s="1">
        <f>B48-C48-D48</f>
        <v/>
      </c>
      <c r="F48" s="1">
        <f>base_monthly_operating_expenses*(1+annual_expense_growth)^3</f>
        <v/>
      </c>
      <c r="G48" s="1">
        <f>monthly_reserves</f>
        <v/>
      </c>
      <c r="H48" s="1">
        <f>E48-F48</f>
        <v/>
      </c>
      <c r="I48" s="1">
        <f>H48-G48</f>
        <v/>
      </c>
    </row>
    <row r="49">
      <c r="A49" t="inlineStr">
        <is>
          <t>Month 48</t>
        </is>
      </c>
      <c r="B49" s="1">
        <f>base_monthly_revenue*(1+annual_revenue_growth)^3</f>
        <v/>
      </c>
      <c r="C49" s="1">
        <f>B49*vacancy_rate</f>
        <v/>
      </c>
      <c r="D49" s="1">
        <f>(B49-C49)*credit_loss_rate</f>
        <v/>
      </c>
      <c r="E49" s="1">
        <f>B49-C49-D49</f>
        <v/>
      </c>
      <c r="F49" s="1">
        <f>base_monthly_operating_expenses*(1+annual_expense_growth)^3</f>
        <v/>
      </c>
      <c r="G49" s="1">
        <f>monthly_reserves</f>
        <v/>
      </c>
      <c r="H49" s="1">
        <f>E49-F49</f>
        <v/>
      </c>
      <c r="I49" s="1">
        <f>H49-G49</f>
        <v/>
      </c>
    </row>
    <row r="50">
      <c r="A50" t="inlineStr">
        <is>
          <t>Month 49</t>
        </is>
      </c>
      <c r="B50" s="1">
        <f>base_monthly_revenue*(1+annual_revenue_growth)^4</f>
        <v/>
      </c>
      <c r="C50" s="1">
        <f>B50*vacancy_rate</f>
        <v/>
      </c>
      <c r="D50" s="1">
        <f>(B50-C50)*credit_loss_rate</f>
        <v/>
      </c>
      <c r="E50" s="1">
        <f>B50-C50-D50</f>
        <v/>
      </c>
      <c r="F50" s="1">
        <f>base_monthly_operating_expenses*(1+annual_expense_growth)^4</f>
        <v/>
      </c>
      <c r="G50" s="1">
        <f>monthly_reserves</f>
        <v/>
      </c>
      <c r="H50" s="1">
        <f>E50-F50</f>
        <v/>
      </c>
      <c r="I50" s="1">
        <f>H50-G50</f>
        <v/>
      </c>
    </row>
    <row r="51">
      <c r="A51" t="inlineStr">
        <is>
          <t>Month 50</t>
        </is>
      </c>
      <c r="B51" s="1">
        <f>base_monthly_revenue*(1+annual_revenue_growth)^4</f>
        <v/>
      </c>
      <c r="C51" s="1">
        <f>B51*vacancy_rate</f>
        <v/>
      </c>
      <c r="D51" s="1">
        <f>(B51-C51)*credit_loss_rate</f>
        <v/>
      </c>
      <c r="E51" s="1">
        <f>B51-C51-D51</f>
        <v/>
      </c>
      <c r="F51" s="1">
        <f>base_monthly_operating_expenses*(1+annual_expense_growth)^4</f>
        <v/>
      </c>
      <c r="G51" s="1">
        <f>monthly_reserves</f>
        <v/>
      </c>
      <c r="H51" s="1">
        <f>E51-F51</f>
        <v/>
      </c>
      <c r="I51" s="1">
        <f>H51-G51</f>
        <v/>
      </c>
    </row>
    <row r="52">
      <c r="A52" t="inlineStr">
        <is>
          <t>Month 51</t>
        </is>
      </c>
      <c r="B52" s="1">
        <f>base_monthly_revenue*(1+annual_revenue_growth)^4</f>
        <v/>
      </c>
      <c r="C52" s="1">
        <f>B52*vacancy_rate</f>
        <v/>
      </c>
      <c r="D52" s="1">
        <f>(B52-C52)*credit_loss_rate</f>
        <v/>
      </c>
      <c r="E52" s="1">
        <f>B52-C52-D52</f>
        <v/>
      </c>
      <c r="F52" s="1">
        <f>base_monthly_operating_expenses*(1+annual_expense_growth)^4</f>
        <v/>
      </c>
      <c r="G52" s="1">
        <f>monthly_reserves</f>
        <v/>
      </c>
      <c r="H52" s="1">
        <f>E52-F52</f>
        <v/>
      </c>
      <c r="I52" s="1">
        <f>H52-G52</f>
        <v/>
      </c>
    </row>
    <row r="53">
      <c r="A53" t="inlineStr">
        <is>
          <t>Month 52</t>
        </is>
      </c>
      <c r="B53" s="1">
        <f>base_monthly_revenue*(1+annual_revenue_growth)^4</f>
        <v/>
      </c>
      <c r="C53" s="1">
        <f>B53*vacancy_rate</f>
        <v/>
      </c>
      <c r="D53" s="1">
        <f>(B53-C53)*credit_loss_rate</f>
        <v/>
      </c>
      <c r="E53" s="1">
        <f>B53-C53-D53</f>
        <v/>
      </c>
      <c r="F53" s="1">
        <f>base_monthly_operating_expenses*(1+annual_expense_growth)^4</f>
        <v/>
      </c>
      <c r="G53" s="1">
        <f>monthly_reserves</f>
        <v/>
      </c>
      <c r="H53" s="1">
        <f>E53-F53</f>
        <v/>
      </c>
      <c r="I53" s="1">
        <f>H53-G53</f>
        <v/>
      </c>
    </row>
    <row r="54">
      <c r="A54" t="inlineStr">
        <is>
          <t>Month 53</t>
        </is>
      </c>
      <c r="B54" s="1">
        <f>base_monthly_revenue*(1+annual_revenue_growth)^4</f>
        <v/>
      </c>
      <c r="C54" s="1">
        <f>B54*vacancy_rate</f>
        <v/>
      </c>
      <c r="D54" s="1">
        <f>(B54-C54)*credit_loss_rate</f>
        <v/>
      </c>
      <c r="E54" s="1">
        <f>B54-C54-D54</f>
        <v/>
      </c>
      <c r="F54" s="1">
        <f>base_monthly_operating_expenses*(1+annual_expense_growth)^4</f>
        <v/>
      </c>
      <c r="G54" s="1">
        <f>monthly_reserves</f>
        <v/>
      </c>
      <c r="H54" s="1">
        <f>E54-F54</f>
        <v/>
      </c>
      <c r="I54" s="1">
        <f>H54-G54</f>
        <v/>
      </c>
    </row>
    <row r="55">
      <c r="A55" t="inlineStr">
        <is>
          <t>Month 54</t>
        </is>
      </c>
      <c r="B55" s="1">
        <f>base_monthly_revenue*(1+annual_revenue_growth)^4</f>
        <v/>
      </c>
      <c r="C55" s="1">
        <f>B55*vacancy_rate</f>
        <v/>
      </c>
      <c r="D55" s="1">
        <f>(B55-C55)*credit_loss_rate</f>
        <v/>
      </c>
      <c r="E55" s="1">
        <f>B55-C55-D55</f>
        <v/>
      </c>
      <c r="F55" s="1">
        <f>base_monthly_operating_expenses*(1+annual_expense_growth)^4</f>
        <v/>
      </c>
      <c r="G55" s="1">
        <f>monthly_reserves</f>
        <v/>
      </c>
      <c r="H55" s="1">
        <f>E55-F55</f>
        <v/>
      </c>
      <c r="I55" s="1">
        <f>H55-G55</f>
        <v/>
      </c>
    </row>
    <row r="56">
      <c r="A56" t="inlineStr">
        <is>
          <t>Month 55</t>
        </is>
      </c>
      <c r="B56" s="1">
        <f>base_monthly_revenue*(1+annual_revenue_growth)^4</f>
        <v/>
      </c>
      <c r="C56" s="1">
        <f>B56*vacancy_rate</f>
        <v/>
      </c>
      <c r="D56" s="1">
        <f>(B56-C56)*credit_loss_rate</f>
        <v/>
      </c>
      <c r="E56" s="1">
        <f>B56-C56-D56</f>
        <v/>
      </c>
      <c r="F56" s="1">
        <f>base_monthly_operating_expenses*(1+annual_expense_growth)^4</f>
        <v/>
      </c>
      <c r="G56" s="1">
        <f>monthly_reserves</f>
        <v/>
      </c>
      <c r="H56" s="1">
        <f>E56-F56</f>
        <v/>
      </c>
      <c r="I56" s="1">
        <f>H56-G56</f>
        <v/>
      </c>
    </row>
    <row r="57">
      <c r="A57" t="inlineStr">
        <is>
          <t>Month 56</t>
        </is>
      </c>
      <c r="B57" s="1">
        <f>base_monthly_revenue*(1+annual_revenue_growth)^4</f>
        <v/>
      </c>
      <c r="C57" s="1">
        <f>B57*vacancy_rate</f>
        <v/>
      </c>
      <c r="D57" s="1">
        <f>(B57-C57)*credit_loss_rate</f>
        <v/>
      </c>
      <c r="E57" s="1">
        <f>B57-C57-D57</f>
        <v/>
      </c>
      <c r="F57" s="1">
        <f>base_monthly_operating_expenses*(1+annual_expense_growth)^4</f>
        <v/>
      </c>
      <c r="G57" s="1">
        <f>monthly_reserves</f>
        <v/>
      </c>
      <c r="H57" s="1">
        <f>E57-F57</f>
        <v/>
      </c>
      <c r="I57" s="1">
        <f>H57-G57</f>
        <v/>
      </c>
    </row>
    <row r="58">
      <c r="A58" t="inlineStr">
        <is>
          <t>Month 57</t>
        </is>
      </c>
      <c r="B58" s="1">
        <f>base_monthly_revenue*(1+annual_revenue_growth)^4</f>
        <v/>
      </c>
      <c r="C58" s="1">
        <f>B58*vacancy_rate</f>
        <v/>
      </c>
      <c r="D58" s="1">
        <f>(B58-C58)*credit_loss_rate</f>
        <v/>
      </c>
      <c r="E58" s="1">
        <f>B58-C58-D58</f>
        <v/>
      </c>
      <c r="F58" s="1">
        <f>base_monthly_operating_expenses*(1+annual_expense_growth)^4</f>
        <v/>
      </c>
      <c r="G58" s="1">
        <f>monthly_reserves</f>
        <v/>
      </c>
      <c r="H58" s="1">
        <f>E58-F58</f>
        <v/>
      </c>
      <c r="I58" s="1">
        <f>H58-G58</f>
        <v/>
      </c>
    </row>
    <row r="59">
      <c r="A59" t="inlineStr">
        <is>
          <t>Month 58</t>
        </is>
      </c>
      <c r="B59" s="1">
        <f>base_monthly_revenue*(1+annual_revenue_growth)^4</f>
        <v/>
      </c>
      <c r="C59" s="1">
        <f>B59*vacancy_rate</f>
        <v/>
      </c>
      <c r="D59" s="1">
        <f>(B59-C59)*credit_loss_rate</f>
        <v/>
      </c>
      <c r="E59" s="1">
        <f>B59-C59-D59</f>
        <v/>
      </c>
      <c r="F59" s="1">
        <f>base_monthly_operating_expenses*(1+annual_expense_growth)^4</f>
        <v/>
      </c>
      <c r="G59" s="1">
        <f>monthly_reserves</f>
        <v/>
      </c>
      <c r="H59" s="1">
        <f>E59-F59</f>
        <v/>
      </c>
      <c r="I59" s="1">
        <f>H59-G59</f>
        <v/>
      </c>
    </row>
    <row r="60">
      <c r="A60" t="inlineStr">
        <is>
          <t>Month 59</t>
        </is>
      </c>
      <c r="B60" s="1">
        <f>base_monthly_revenue*(1+annual_revenue_growth)^4</f>
        <v/>
      </c>
      <c r="C60" s="1">
        <f>B60*vacancy_rate</f>
        <v/>
      </c>
      <c r="D60" s="1">
        <f>(B60-C60)*credit_loss_rate</f>
        <v/>
      </c>
      <c r="E60" s="1">
        <f>B60-C60-D60</f>
        <v/>
      </c>
      <c r="F60" s="1">
        <f>base_monthly_operating_expenses*(1+annual_expense_growth)^4</f>
        <v/>
      </c>
      <c r="G60" s="1">
        <f>monthly_reserves</f>
        <v/>
      </c>
      <c r="H60" s="1">
        <f>E60-F60</f>
        <v/>
      </c>
      <c r="I60" s="1">
        <f>H60-G60</f>
        <v/>
      </c>
    </row>
    <row r="61">
      <c r="A61" t="inlineStr">
        <is>
          <t>Month 60</t>
        </is>
      </c>
      <c r="B61" s="1">
        <f>base_monthly_revenue*(1+annual_revenue_growth)^4</f>
        <v/>
      </c>
      <c r="C61" s="1">
        <f>B61*vacancy_rate</f>
        <v/>
      </c>
      <c r="D61" s="1">
        <f>(B61-C61)*credit_loss_rate</f>
        <v/>
      </c>
      <c r="E61" s="1">
        <f>B61-C61-D61</f>
        <v/>
      </c>
      <c r="F61" s="1">
        <f>base_monthly_operating_expenses*(1+annual_expense_growth)^4</f>
        <v/>
      </c>
      <c r="G61" s="1">
        <f>monthly_reserves</f>
        <v/>
      </c>
      <c r="H61" s="1">
        <f>E61-F61</f>
        <v/>
      </c>
      <c r="I61" s="1">
        <f>H61-G61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</cols>
  <sheetData>
    <row r="1">
      <c r="A1" t="inlineStr">
        <is>
          <t>Metric</t>
        </is>
      </c>
      <c r="C1" t="inlineStr">
        <is>
          <t>Year 1</t>
        </is>
      </c>
      <c r="D1" t="inlineStr">
        <is>
          <t>Year 2</t>
        </is>
      </c>
      <c r="E1" t="inlineStr">
        <is>
          <t>Year 3</t>
        </is>
      </c>
      <c r="F1" t="inlineStr">
        <is>
          <t>Year 4</t>
        </is>
      </c>
      <c r="G1" t="inlineStr">
        <is>
          <t>Year 5</t>
        </is>
      </c>
    </row>
    <row r="2">
      <c r="A2" t="inlineStr">
        <is>
          <t>gross_potential_revenue</t>
        </is>
      </c>
      <c r="C2" s="1">
        <f>SUM(Monthly!B2:B13)</f>
        <v/>
      </c>
      <c r="D2" s="1">
        <f>SUM(Monthly!B14:B25)</f>
        <v/>
      </c>
      <c r="E2" s="1">
        <f>SUM(Monthly!B26:B37)</f>
        <v/>
      </c>
      <c r="F2" s="1">
        <f>SUM(Monthly!B38:B49)</f>
        <v/>
      </c>
      <c r="G2" s="1">
        <f>SUM(Monthly!B50:B61)</f>
        <v/>
      </c>
    </row>
    <row r="3">
      <c r="A3" t="inlineStr">
        <is>
          <t>effective_gross_income</t>
        </is>
      </c>
      <c r="C3" s="1">
        <f>SUM(Monthly!E2:E13)</f>
        <v/>
      </c>
      <c r="D3" s="1">
        <f>SUM(Monthly!E14:E25)</f>
        <v/>
      </c>
      <c r="E3" s="1">
        <f>SUM(Monthly!E26:E37)</f>
        <v/>
      </c>
      <c r="F3" s="1">
        <f>SUM(Monthly!E38:E49)</f>
        <v/>
      </c>
      <c r="G3" s="1">
        <f>SUM(Monthly!E50:E61)</f>
        <v/>
      </c>
    </row>
    <row r="4">
      <c r="A4" t="inlineStr">
        <is>
          <t>operating_expenses</t>
        </is>
      </c>
      <c r="C4" s="1">
        <f>SUM(Monthly!F2:F13)</f>
        <v/>
      </c>
      <c r="D4" s="1">
        <f>SUM(Monthly!F14:F25)</f>
        <v/>
      </c>
      <c r="E4" s="1">
        <f>SUM(Monthly!F26:F37)</f>
        <v/>
      </c>
      <c r="F4" s="1">
        <f>SUM(Monthly!F38:F49)</f>
        <v/>
      </c>
      <c r="G4" s="1">
        <f>SUM(Monthly!F50:F61)</f>
        <v/>
      </c>
    </row>
    <row r="5">
      <c r="A5" t="inlineStr">
        <is>
          <t>reserves</t>
        </is>
      </c>
      <c r="C5" s="1">
        <f>SUM(Monthly!G2:G13)</f>
        <v/>
      </c>
      <c r="D5" s="1">
        <f>SUM(Monthly!G14:G25)</f>
        <v/>
      </c>
      <c r="E5" s="1">
        <f>SUM(Monthly!G26:G37)</f>
        <v/>
      </c>
      <c r="F5" s="1">
        <f>SUM(Monthly!G38:G49)</f>
        <v/>
      </c>
      <c r="G5" s="1">
        <f>SUM(Monthly!G50:G61)</f>
        <v/>
      </c>
    </row>
    <row r="6">
      <c r="A6" t="inlineStr">
        <is>
          <t>noi</t>
        </is>
      </c>
      <c r="C6" s="1">
        <f>SUM(Monthly!H2:H13)</f>
        <v/>
      </c>
      <c r="D6" s="1">
        <f>SUM(Monthly!H14:H25)</f>
        <v/>
      </c>
      <c r="E6" s="1">
        <f>SUM(Monthly!H26:H37)</f>
        <v/>
      </c>
      <c r="F6" s="1">
        <f>SUM(Monthly!H38:H49)</f>
        <v/>
      </c>
      <c r="G6" s="1">
        <f>SUM(Monthly!H50:H61)</f>
        <v/>
      </c>
    </row>
    <row r="7">
      <c r="A7" t="inlineStr">
        <is>
          <t>cash_flow</t>
        </is>
      </c>
      <c r="C7" s="1">
        <f>SUM(Monthly!I2:I13)</f>
        <v/>
      </c>
      <c r="D7" s="1">
        <f>SUM(Monthly!I14:I25)</f>
        <v/>
      </c>
      <c r="E7" s="1">
        <f>SUM(Monthly!I26:I37)</f>
        <v/>
      </c>
      <c r="F7" s="1">
        <f>SUM(Monthly!I38:I49)</f>
        <v/>
      </c>
      <c r="G7" s="1">
        <f>SUM(Monthly!I50:I61)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openpyxl</dc:creator>
  <ns2:created xsi:type="dcterms:W3CDTF">2000-01-01T00:00:00Z</ns2:created>
  <ns2:modified xsi:type="dcterms:W3CDTF">2000-01-01T00:00:00Z</ns2:modified>
</ns0:coreProperties>
</file>